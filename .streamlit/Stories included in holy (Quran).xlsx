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esktop\Quran\"/>
    </mc:Choice>
  </mc:AlternateContent>
  <xr:revisionPtr revIDLastSave="0" documentId="13_ncr:1_{C5929E71-1412-4133-9CDF-02BE904E8B1C}" xr6:coauthVersionLast="47" xr6:coauthVersionMax="47" xr10:uidLastSave="{00000000-0000-0000-0000-000000000000}"/>
  <bookViews>
    <workbookView xWindow="-108" yWindow="-108" windowWidth="23256" windowHeight="12576" xr2:uid="{6743060E-9DD5-41D0-9F3E-37ADDA01ABAC}"/>
  </bookViews>
  <sheets>
    <sheet name="Overall Stories" sheetId="1" r:id="rId1"/>
    <sheet name="1- أبليس"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1" i="1" l="1"/>
  <c r="G5" i="1" s="1"/>
  <c r="G36" i="1" l="1"/>
  <c r="G28" i="1"/>
  <c r="G20" i="1"/>
  <c r="G12" i="1"/>
  <c r="G4" i="1"/>
  <c r="G35" i="1"/>
  <c r="G27" i="1"/>
  <c r="G19" i="1"/>
  <c r="G11" i="1"/>
  <c r="G3" i="1"/>
  <c r="G34" i="1"/>
  <c r="G26" i="1"/>
  <c r="G18" i="1"/>
  <c r="G10" i="1"/>
  <c r="G2" i="1"/>
  <c r="G33" i="1"/>
  <c r="G25" i="1"/>
  <c r="G17" i="1"/>
  <c r="G9" i="1"/>
  <c r="G32" i="1"/>
  <c r="G24" i="1"/>
  <c r="G16" i="1"/>
  <c r="G8" i="1"/>
  <c r="G39" i="1"/>
  <c r="G31" i="1"/>
  <c r="G23" i="1"/>
  <c r="G15" i="1"/>
  <c r="G7" i="1"/>
  <c r="G38" i="1"/>
  <c r="G30" i="1"/>
  <c r="G22" i="1"/>
  <c r="G14" i="1"/>
  <c r="G6" i="1"/>
  <c r="G37" i="1"/>
  <c r="G29" i="1"/>
  <c r="G21" i="1"/>
  <c r="G13" i="1"/>
</calcChain>
</file>

<file path=xl/sharedStrings.xml><?xml version="1.0" encoding="utf-8"?>
<sst xmlns="http://schemas.openxmlformats.org/spreadsheetml/2006/main" count="329" uniqueCount="222">
  <si>
    <t>آدم</t>
  </si>
  <si>
    <t>التوبة والتعلم من الخطأ</t>
  </si>
  <si>
    <t>بداية البشرية وأهمية التوبة بعد الخطأ</t>
  </si>
  <si>
    <t>إبليس</t>
  </si>
  <si>
    <t>الغرور يمنع رؤية الحق</t>
  </si>
  <si>
    <t>قابيل وهابيل</t>
  </si>
  <si>
    <t>الحسد يؤدي للهلاك</t>
  </si>
  <si>
    <t>أول جريمة بسبب الغيرة</t>
  </si>
  <si>
    <t>نوح</t>
  </si>
  <si>
    <t>الصبر في الدعوة</t>
  </si>
  <si>
    <t>الاستمرار رغم الرفض الطويل</t>
  </si>
  <si>
    <t>عاد</t>
  </si>
  <si>
    <t>عاقبة التكبر</t>
  </si>
  <si>
    <t>القوة بدون قيم تؤدي للانهيار</t>
  </si>
  <si>
    <t>ثمود</t>
  </si>
  <si>
    <t>عاقبة التكذيب</t>
  </si>
  <si>
    <t>رفض الحق يقود للهلاك</t>
  </si>
  <si>
    <t>إبراهيم</t>
  </si>
  <si>
    <t>التوحيد والتفكير</t>
  </si>
  <si>
    <t>استخدام المنطق لإثبات الحق</t>
  </si>
  <si>
    <t>إبراهيم والنمرود</t>
  </si>
  <si>
    <t>قوة الحجة</t>
  </si>
  <si>
    <t>الحوار أداة تغيير</t>
  </si>
  <si>
    <t>الذبيح</t>
  </si>
  <si>
    <t>الطاعة والثقة</t>
  </si>
  <si>
    <t>التضحية في سبيل المبدأ</t>
  </si>
  <si>
    <t>لوط</t>
  </si>
  <si>
    <t>حماية القيم</t>
  </si>
  <si>
    <t>رفض الانحراف</t>
  </si>
  <si>
    <t>شعيب</t>
  </si>
  <si>
    <t>النزاهة التجارية</t>
  </si>
  <si>
    <t>إدارة</t>
  </si>
  <si>
    <t>العدالة في المعاملات</t>
  </si>
  <si>
    <t>يوسف</t>
  </si>
  <si>
    <t>التخطيط طويل المدى</t>
  </si>
  <si>
    <t>إدارة أزمة اقتصادية</t>
  </si>
  <si>
    <t>أيوب</t>
  </si>
  <si>
    <t>الصبر على البلاء</t>
  </si>
  <si>
    <t>الثبات رغم المعاناة</t>
  </si>
  <si>
    <t>يونس</t>
  </si>
  <si>
    <t>الرجوع بعد الخطأ</t>
  </si>
  <si>
    <t>الاعتراف بالخطأ بداية الحل</t>
  </si>
  <si>
    <t>موسى</t>
  </si>
  <si>
    <t>مواجهة الظلم</t>
  </si>
  <si>
    <t>قيادة التغيير</t>
  </si>
  <si>
    <t>موسى وفرعون</t>
  </si>
  <si>
    <t>مقاومة الطغيان</t>
  </si>
  <si>
    <t>الحق ينتصر رغم القوة</t>
  </si>
  <si>
    <t>موسى والخضر</t>
  </si>
  <si>
    <t>حدود المعرفة</t>
  </si>
  <si>
    <t>ليس كل شيء مفهوم فورًا</t>
  </si>
  <si>
    <t>قارون</t>
  </si>
  <si>
    <t>مخاطر الغرور المالي</t>
  </si>
  <si>
    <t>المال بدون شكر يفسد</t>
  </si>
  <si>
    <t>طالوت وجالوت</t>
  </si>
  <si>
    <t>الكفاءة أهم من العدد</t>
  </si>
  <si>
    <t>النصر بالاستحقاق</t>
  </si>
  <si>
    <t>داود وجالوت</t>
  </si>
  <si>
    <t>الشجاعة</t>
  </si>
  <si>
    <t>التفوق بالإيمان</t>
  </si>
  <si>
    <t>داود</t>
  </si>
  <si>
    <t>العدالة</t>
  </si>
  <si>
    <t>الحكم يحتاج توازن</t>
  </si>
  <si>
    <t>سليمان</t>
  </si>
  <si>
    <t>إدارة الموارد</t>
  </si>
  <si>
    <t>توظيف الإمكانات بذكاء</t>
  </si>
  <si>
    <t>سبأ</t>
  </si>
  <si>
    <t>التواصل الدبلوماسي</t>
  </si>
  <si>
    <t>الحوار يحقق نتائج</t>
  </si>
  <si>
    <t>زكريا</t>
  </si>
  <si>
    <t>الأمل</t>
  </si>
  <si>
    <t>لا يأس مع الدعاء</t>
  </si>
  <si>
    <t>يحيى</t>
  </si>
  <si>
    <t>الاستقامة</t>
  </si>
  <si>
    <t>الثبات على الحق</t>
  </si>
  <si>
    <t>مريم</t>
  </si>
  <si>
    <t>الطهارة رغم الاتهام</t>
  </si>
  <si>
    <t>عيسى</t>
  </si>
  <si>
    <t>الرحمة</t>
  </si>
  <si>
    <t>الدعوة بالحكمة</t>
  </si>
  <si>
    <t>أصحاب الكهف</t>
  </si>
  <si>
    <t>الثبات</t>
  </si>
  <si>
    <t>الحفاظ على المبادئ</t>
  </si>
  <si>
    <t>ذو القرنين</t>
  </si>
  <si>
    <t>القوة مع العدل</t>
  </si>
  <si>
    <t>القيادة المسؤولة</t>
  </si>
  <si>
    <t>لقمان</t>
  </si>
  <si>
    <t>الحكمة</t>
  </si>
  <si>
    <t>التربية أساس النجاح</t>
  </si>
  <si>
    <t>السبت</t>
  </si>
  <si>
    <t>التحايل خطر</t>
  </si>
  <si>
    <t>الالتفاف على القيم يؤدي للفشل</t>
  </si>
  <si>
    <t>الأخدود</t>
  </si>
  <si>
    <t>الثبات على الإيمان</t>
  </si>
  <si>
    <t>التضحية لأجل المبدأ</t>
  </si>
  <si>
    <t>الفيل</t>
  </si>
  <si>
    <t>حماية القيم الكبرى</t>
  </si>
  <si>
    <t>القوة ليست كل شيء</t>
  </si>
  <si>
    <t>أصحاب الجنة</t>
  </si>
  <si>
    <t>مخاطر البخل</t>
  </si>
  <si>
    <t>تجاهل الفقراء يزيل النعمة</t>
  </si>
  <si>
    <t>السامري</t>
  </si>
  <si>
    <t>خطر التضليل</t>
  </si>
  <si>
    <t>الشائعات تفسد المجتمعات</t>
  </si>
  <si>
    <t>أصحاب القرية</t>
  </si>
  <si>
    <t>رفض التغيير</t>
  </si>
  <si>
    <t>مقاومة الإصلاح</t>
  </si>
  <si>
    <t>تبع</t>
  </si>
  <si>
    <t>الاعتبار بالتاريخ</t>
  </si>
  <si>
    <t>الحضارات تتغير</t>
  </si>
  <si>
    <t>بداية الخلق</t>
  </si>
  <si>
    <t>أصل الإنسان</t>
  </si>
  <si>
    <t>معرفة الأصل توجه السلوك</t>
  </si>
  <si>
    <t>خطر الكبر و العلو</t>
  </si>
  <si>
    <t>#</t>
  </si>
  <si>
    <t>Story</t>
  </si>
  <si>
    <t>Core Value</t>
  </si>
  <si>
    <t>Category</t>
  </si>
  <si>
    <t>1-line Summary</t>
  </si>
  <si>
    <t>- سورة الاعراف (وَلَقَدۡ خَلَقۡنَٰكُمۡ ثُمَّ صَوَّرۡنَٰكُمۡ ثُمَّ قُلۡنَا لِلۡمَلَٰٓئِكَةِ ٱسۡجُدُواْ لِأٓدَمَ فَسَجَدُوٓاْ إِلَّآ إِبۡلِيسَ لَمۡ يَكُن مِّنَ ٱلسَّٰجِدِينَ (11) قَالَ مَا مَنَعَكَ أَلَّا تَسۡجُدَ إِذۡ أَمَرۡتُكَۖ قَالَ أَنَا۠ خَيۡرٞ مِّنۡهُ خَلَقۡتَنِي مِن نَّارٖ وَخَلَقۡتَهُۥ مِن طِينٖ (12) قَالَ فَٱهۡبِطۡ مِنۡهَا فَمَا يَكُونُ لَكَ أَن تَتَكَبَّرَ فِيهَا فَٱخۡرُجۡ إِنَّكَ مِنَ ٱلصَّٰغِرِينَ (13) قَالَ أَنظِرۡنِيٓ إِلَىٰ يَوۡمِ يُبۡعَثُونَ (14) قَالَ إِنَّكَ مِنَ ٱلۡمُنظَرِينَ (15) قَالَ فَبِمَآ أَغۡوَيۡتَنِي لَأَقۡعُدَنَّ لَهُمۡ صِرَٰطَكَ ٱلۡمُسۡتَقِيمَ (16) ثُمَّ لَأٓتِيَنَّهُم مِّنۢ بَيۡنِ أَيۡدِيهِمۡ وَمِنۡ خَلۡفِهِمۡ وَعَنۡ أَيۡمَٰنِهِمۡ وَعَن شَمَآئِلِهِمۡۖ وَلَا تَجِدُ أَكۡثَرَهُمۡ شَٰكِرِينَ (17) قَالَ ٱخۡرُجۡ مِنۡهَا مَذۡءُومٗا مَّدۡحُورٗاۖ لَّمَن تَبِعَكَ مِنۡهُمۡ لَأَمۡلَأَنَّ جَهَنَّمَ مِنكُمۡ أَجۡمَعِينَ)</t>
  </si>
  <si>
    <t>- سورة الحجر (وَإِذۡ قَالَ رَبُّكَ لِلۡمَلَٰٓئِكَةِ إِنِّي خَٰلِقُۢ بَشَرٗا مِّن صَلۡصَٰلٖ مِّنۡ حَمَإٖ مَّسۡنُونٖ (28) فَإِذَا سَوَّيۡتُهُۥ وَنَفَخۡتُ فِيهِ مِن رُّوحِي فَقَعُواْ لَهُۥ سَٰجِدِينَ (29) فَسَجَدَ ٱلۡمَلَٰٓئِكَةُ كُلُّهُمۡ أَجۡمَعُونَ (30)إِلَّآ إِبۡلِيسَ أَبَىٰٓ أَن يَكُونَ مَعَ ٱلسَّٰجِدِينَ (31) قَالَ يَٰٓإِبۡلِيسُ مَا لَكَ أَلَّا تَكُونَ مَعَ ٱلسَّٰجِدِينَ (32) قَالَ لَمۡ أَكُن لِّأَسۡجُدَ لِبَشَرٍ خَلَقۡتَهُۥ مِن صَلۡصَٰلٖ مِّنۡ حَمَإٖ مَّسۡنُونٖ (33)قَالَ فَٱخۡرُجۡ مِنۡهَا فَإِنَّكَ رَجِيمٞ (34) وَإِنَّ عَلَيۡكَ ٱللَّعۡنَةَ إِلَىٰ يَوۡمِ ٱلدِّينِ (35) قَالَ رَبِّ فَأَنظِرۡنِيٓ إِلَىٰ يَوۡمِ يُبۡعَثُونَ (36) قَالَ فَإِنَّكَ مِنَ ٱلۡمُنظَرِينَ (37) إِلَىٰ يَوۡمِ ٱلۡوَقۡتِ ٱلۡمَعۡلُومِ (38)قَالَ رَبِّ بِمَآ أَغۡوَيۡتَنِي لَأُزَيِّنَنَّ لَهُمۡ فِي ٱلۡأَرۡضِ وَلَأُغۡوِيَنَّهُمۡ أَجۡمَعِينَ (39) إِلَّا عِبَادَكَ مِنۡهُمُ ٱلۡمُخۡلَصِينَ (40) قَالَ هَٰذَا صِرَٰطٌ عَلَيَّ مُسۡتَقِيمٌ (41) إِنَّ عِبَادِي لَيۡسَ لَكَ عَلَيۡهِمۡ سُلۡطَٰنٌ إِلَّا مَنِ ٱتَّبَعَكَ مِنَ ٱلۡغَاوِينَ (42)وَإِنَّ جَهَنَّمَ لَمَوۡعِدُهُمۡ أَجۡمَعِينَ (43) لَهَا سَبۡعَةُ أَبۡوَٰبٖ لِّكُلِّ بَابٖ مِّنۡهُمۡ جُزۡءٞ مَّقۡسُومٌ)</t>
  </si>
  <si>
    <t>- سورة الاسراء (وَإِذۡ قُلۡنَا لِلۡمَلَٰٓئِكَةِ ٱسۡجُدُواْ لِأٓدَمَ فَسَجَدُوٓاْ إِلَّآ إِبۡلِيسَ قَالَ ءَأَسۡجُدُ لِمَنۡ خَلَقۡتَ طِينٗا (61) قَالَ أَرَءَيۡتَكَ هَٰذَا ٱلَّذِي كَرَّمۡتَ عَلَيَّ لَئِنۡ أَخَّرۡتَنِ إِلَىٰ يَوۡمِ ٱلۡقِيَٰمَةِ لَأَحۡتَنِكَنَّ ذُرِّيَّتَهُۥٓ إِلَّا قَلِيلٗا (62) قَالَ ٱذۡهَبۡ فَمَن تَبِعَكَ مِنۡهُمۡ فَإِنَّ جَهَنَّمَ جَزَآؤُكُمۡ جَزَآءٗ مَّوۡفُورٗا (63)وَٱسۡتَفۡزِزۡ مَنِ ٱسۡتَطَعۡتَ مِنۡهُم بِصَوۡتِكَ وَأَجۡلِبۡ عَلَيۡهِم بِخَيۡلِكَ وَرَجِلِكَ وَشَارِكۡهُمۡ فِي ٱلۡأَمۡوَٰلِ وَٱلۡأَوۡلَٰدِ وَعِدۡهُمۡۚ وَمَا يَعِدُهُمُ ٱلشَّيۡطَٰنُ إِلَّا غُرُورًا (64) إِنَّ عِبَادِي لَيۡسَ لَكَ عَلَيۡهِمۡ سُلۡطَٰنٞۚ وَكَفَىٰ بِرَبِّكَ وَكِيلٗا)</t>
  </si>
  <si>
    <t>- سورة طه (وَإِذۡ قُلۡنَا لِلۡمَلَٰٓئِكَةِ ٱسۡجُدُواْ لِأٓدَمَ فَسَجَدُوٓاْ إِلَّآ إِبۡلِيسَ أَبَىٰ (116) فَقُلۡنَا يَٰٓـَٔادَمُ إِنَّ هَٰذَا عَدُوّٞ لَّكَ وَلِزَوۡجِكَ فَلَا يُخۡرِجَنَّكُمَا مِنَ ٱلۡجَنَّةِ فَتَشۡقَىٰٓ (117) إِنَّ لَكَ أَلَّا تَجُوعَ فِيهَا وَلَا تَعۡرَىٰ (118) وَأَنَّكَ لَا تَظۡمَؤُاْ فِيهَا وَلَا تَضۡحَىٰ (119) فَوَسۡوَسَ إِلَيۡهِ ٱلشَّيۡطَٰنُ قَالَ يَٰٓـَٔادَمُ هَلۡ أَدُلُّكَ عَلَىٰ شَجَرَةِ ٱلۡخُلۡدِ وَمُلۡكٖ لَّا يَبۡلَىٰ (120) فَأَكَلَا مِنۡهَا فَبَدَتۡ لَهُمَا سَوۡءَٰتُهُمَا وَطَفِقَا يَخۡصِفَانِ عَلَيۡهِمَا مِن وَرَقِ ٱلۡجَنَّةِۚ وَعَصَىٰٓ ءَادَمُ رَبَّهُۥ فَغَوَىٰ (121) ثُمَّ ٱجۡتَبَٰهُ رَبُّهُۥ فَتَابَ عَلَيۡهِ وَهَدَىٰ (122) قَالَ ٱهۡبِطَا مِنۡهَا جَمِيعَۢاۖ بَعۡضُكُمۡ لِبَعۡضٍ عَدُوّٞۖ فَإِمَّا يَأۡتِيَنَّكُم مِّنِّي هُدٗى فَمَنِ ٱتَّبَعَ هُدَايَ فَلَا يَضِلُّ وَلَا يَشۡقَىٰ)</t>
  </si>
  <si>
    <t>- سورة ص (إِذۡ قَالَ رَبُّكَ لِلۡمَلَٰٓئِكَةِ إِنِّي خَٰلِقُۢ بَشَرٗا مِّن طِينٖ (71) فَإِذَا سَوَّيۡتُهُۥ وَنَفَخۡتُ فِيهِ مِن رُّوحِي فَقَعُواْ لَهُۥ سَٰجِدِينَ (72) فَسَجَدَ ٱلۡمَلَٰٓئِكَةُ كُلُّهُمۡ أَجۡمَعُونَ (73) إِلَّآ إِبۡلِيسَ ٱسۡتَكۡبَرَ وَكَانَ مِنَ ٱلۡكَٰفِرِينَ (74) قَالَ يَٰٓإِبۡلِيسُ مَا مَنَعَكَ أَن تَسۡجُدَ لِمَا خَلَقۡتُ بِيَدَيَّۖ أَسۡتَكۡبَرۡتَ أَمۡ كُنتَ مِنَ ٱلۡعَالِينَ (75)قَالَ أَنَا۠ خَيۡرٞ مِّنۡهُ خَلَقۡتَنِي مِن نَّارٖ وَخَلَقۡتَهُۥ مِن طِينٖ (76) قَالَ فَٱخۡرُجۡ مِنۡهَا فَإِنَّكَ رَجِيمٞ (77) وَإِنَّ عَلَيۡكَ لَعۡنَتِيٓ إِلَىٰ يَوۡمِ ٱلدِّينِ (78)قَالَ رَبِّ فَأَنظِرۡنِيٓ إِلَىٰ يَوۡمِ يُبۡعَثُونَ (79) قَالَ فَإِنَّكَ مِنَ ٱلۡمُنظَرِينَ (80) إِلَىٰ يَوۡمِ ٱلۡوَقۡتِ ٱلۡمَعۡلُومِ (81) قَالَ فَبِعِزَّتِكَ لَأُغۡوِيَنَّهُمۡ أَجۡمَعِينَ (82) إِلَّا عِبَادَكَ مِنۡهُمُ ٱلۡمُخۡلَصِينَ (83) قَالَ فَٱلۡحَقُّ وَٱلۡحَقَّ أَقُولُ (84) لَأَمۡلَأَنَّ جَهَنَّمَ مِنكَ وَمِمَّن تَبِعَكَ مِنۡهُمۡ أَجۡمَعِينَ)</t>
  </si>
  <si>
    <t>إبليس هذا ما ترك مكانا في الأرض إلا كان له فيه سجدة لله، ولكنه لما أمر بالسجود لآدم عصى الله وتكبر على أمر الله. وأعاد الله عليه السؤال لعله يتذكر ولكنه أصر واستمر واستكبر ولم يرض أن يطعط الجبين لخالقه</t>
  </si>
  <si>
    <t>سورة الكهف (وَإِذۡ قُلۡنَا لِلۡمَلَٰٓئِكَةِ ٱسۡجُدُواْ لِأٓدَمَ فَسَجَدُوٓاْ إِلَّآ إِبۡلِيسَ كَانَ مِنَ ٱلۡجِنِّ فَفَسَقَ عَنۡ أَمۡرِ رَبِّهِۦٓۗ أَفَتَتَّخِذُونَهُۥ وَذُرِّيَّتَهُۥٓ أَوۡلِيَآءَ مِن دُونِي وَهُمۡ لَكُمۡ عَدُوُّۢۚ بِئۡسَ لِلظَّٰلِمِينَ بَدَلٗا)</t>
  </si>
  <si>
    <t xml:space="preserve">النزاهة والثقة </t>
  </si>
  <si>
    <t>التعلم المستمر – تصحيح المسار – المرونة الفكرية</t>
  </si>
  <si>
    <t>اتخاذ قرارات أخلاقية – الثبات تحت الضغط</t>
  </si>
  <si>
    <t>الشجاعة – القيادة المبدئية – الدفاع عن الحقوق</t>
  </si>
  <si>
    <t>الاستقلالية – الثبات على المبادئ</t>
  </si>
  <si>
    <t>التركيز على الجودة – تطوير المهارات</t>
  </si>
  <si>
    <t>المبادرة – تحمل المسؤولية</t>
  </si>
  <si>
    <t>التفكير الإيجابي – الاستمرارية</t>
  </si>
  <si>
    <t>الالتزام بالقيم – الاتساق</t>
  </si>
  <si>
    <t>الالتزام بالقوانين – أخلاقيات العمل</t>
  </si>
  <si>
    <t>التفكير الاستراتيجي – الحفاظ على الهوية</t>
  </si>
  <si>
    <t>الذكاء العاطفي – ضبط المشاعر – التعاون</t>
  </si>
  <si>
    <t>المثابرة – تحمل الرفض – الالتزام بالهدف</t>
  </si>
  <si>
    <t>الواقعية – تجنب الغرور – تقييم المخاطر</t>
  </si>
  <si>
    <t>الموضوعية – تقبل الحقيقة – التفكير المنطقي</t>
  </si>
  <si>
    <t>وضوح الرؤية – التفكير النقدي – تحديد الأولويات</t>
  </si>
  <si>
    <t>الإقناع – عرض الأدلة – التواصل المؤثر</t>
  </si>
  <si>
    <t>الانضباط – الالتزام – تنفيذ القرارات</t>
  </si>
  <si>
    <t>الشفافية – العدالة – بناء الثقة</t>
  </si>
  <si>
    <t>تحليل البيانات – التنبؤ – إدارة الموارد</t>
  </si>
  <si>
    <t>المرونة النفسية – إدارة الضغوط</t>
  </si>
  <si>
    <t>الاعتراف بالخطأ – التحسين المستمر</t>
  </si>
  <si>
    <t>التعلم المستمر – تقبل الغموض – الانفتاح</t>
  </si>
  <si>
    <t>التوازن – المسؤولية – إدارة الثروة</t>
  </si>
  <si>
    <t>الحياد – اتخاذ قرارات متوازنة</t>
  </si>
  <si>
    <t>الكفاءة – تحسين الإنتاجية</t>
  </si>
  <si>
    <t>التفاوض – بناء العلاقات</t>
  </si>
  <si>
    <t>المصداقية – بناء السمعة</t>
  </si>
  <si>
    <t>التعاطف – القيادة الإنسانية</t>
  </si>
  <si>
    <t>مقاومة الضغوط – الالتزام</t>
  </si>
  <si>
    <t>القيادة المسؤولة – التوازن</t>
  </si>
  <si>
    <t>التوجيه – بناء القيم</t>
  </si>
  <si>
    <t>الالتزام – التضحية</t>
  </si>
  <si>
    <t>الاستدامة – المسؤولية الاجتماعية</t>
  </si>
  <si>
    <t>التفكير التحليلي – التحقق من المعلومات</t>
  </si>
  <si>
    <t>المرونة – إدارة التغيير</t>
  </si>
  <si>
    <t>التحليل الاستراتيجي – التعلم من التجارب</t>
  </si>
  <si>
    <t>الوعي بالغاية – توجيه السلوك</t>
  </si>
  <si>
    <t>التواضع – تقبل النقد – تحسين العلاقات – الاعتراف بعدم اليقين – الاستعداد لتغيير الرأي – طلب التوضيح قبل الحكم - التخلص من الكبرياء الكاذب االدمر</t>
  </si>
  <si>
    <t>Skill to be gained</t>
  </si>
  <si>
    <t>عدد الآيات</t>
  </si>
  <si>
    <t>السور والآيات</t>
  </si>
  <si>
    <t>البقرة 34 | الأعراف 11-18 | الحجر 28-43 | الإسراء 61-65 | الكهف 50 | طه 116-123 | ص 71-85</t>
  </si>
  <si>
    <t>البقرة 30-39 | الأعراف 19-25 | الحجر 26-29 | طه 115-123 | ص 71-76</t>
  </si>
  <si>
    <t>المائدة 27-31</t>
  </si>
  <si>
    <t>الأعراف 59-64 | يونس 71-73 | هود 25-49 | المؤمنون 23-30 | الشعراء 105-122 | العنكبوت 14-15 | الصافات 75-82 | القمر 9-16 | نوح 1-28</t>
  </si>
  <si>
    <t>الأعراف 65-72 | هود 50-60 | الشعراء 123-140 | فصلت 15-16 | الأحقاف 21-26 | القمر 18-22</t>
  </si>
  <si>
    <t>الأعراف 73-79 | هود 61-68 | الشعراء 141-159 | النمل 45-53 | فصلت 17 | القمر 23-32 | الشمس 11-15</t>
  </si>
  <si>
    <t>البقرة 124-132 | الأنعام 74-83 | هود 69-76 | إبراهيم 35-41 | الحجر 51-60 | مريم 41-50 | الأنبياء 51-70 | الشعراء 69-89 | العنكبوت 16-27 | الصافات 83-101 | ص 45-47</t>
  </si>
  <si>
    <t>البقرة 258</t>
  </si>
  <si>
    <t>الصافات 102-107</t>
  </si>
  <si>
    <t>الأعراف 80-84 | هود 77-83 | الحجر 57-77 | الأنبياء 74-75 | الشعراء 160-175 | النمل 54-58 | العنكبوت 28-35 | الصافات 133-138 | القمر 33-39</t>
  </si>
  <si>
    <t>الأعراف 85-93 | هود 84-95 | الشعراء 176-191 | العنكبوت 36-37</t>
  </si>
  <si>
    <t>يوسف 4-101</t>
  </si>
  <si>
    <t>الأنبياء 83-84 | ص 41-44</t>
  </si>
  <si>
    <t>يونس 98 | الأنبياء 87-88 | الصافات 139-148 | القلم 48-50</t>
  </si>
  <si>
    <t>البقرة 49-61 | الأعراف 103-160 | يونس 75-92 | طه 9-98 | الشعراء 10-68 | القصص 3-46 | النمل 7-14 | الزخرف 46-56 | الدخان 17-33 | النازعات 15-26</t>
  </si>
  <si>
    <t>البقرة 49-50 | الأعراف 103-137 | يونس 75-92 | طه 49-79 | الشعراء 16-68 | القصص 38-42 | الزخرف 46-56 | الدخان 17-33 | النازعات 15-26</t>
  </si>
  <si>
    <t>الكهف 60-82</t>
  </si>
  <si>
    <t>القصص 76-82 | العنكبوت 39</t>
  </si>
  <si>
    <t>البقرة 246-251</t>
  </si>
  <si>
    <t>البقرة 251</t>
  </si>
  <si>
    <t>الأنبياء 78-80 | سبأ 10-11 | ص 17-26</t>
  </si>
  <si>
    <t>البقرة 102 | النمل 15-44 | سبأ 12-14 | ص 30-40</t>
  </si>
  <si>
    <t>النمل 22-44 | سبأ 15-21</t>
  </si>
  <si>
    <t>آل عمران 38-41 | مريم 2-11 | الأنبياء 89-90</t>
  </si>
  <si>
    <t>آل عمران 39 | مريم 12-15 | الأنبياء 90</t>
  </si>
  <si>
    <t>آل عمران 42-47 | مريم 16-26 | التحريم 12</t>
  </si>
  <si>
    <t>آل عمران 45-55 | النساء 156-159 | المائدة 110-120 | مريم 27-36 | الأنبياء 91 | المؤمنون 50 | الزخرف 57-65</t>
  </si>
  <si>
    <t>الكهف 9-26</t>
  </si>
  <si>
    <t>الكهف 83-98</t>
  </si>
  <si>
    <t>لقمان 12-19</t>
  </si>
  <si>
    <t>البقرة 65 | النساء 47 | الأعراف 163-166</t>
  </si>
  <si>
    <t>البروج 4-8</t>
  </si>
  <si>
    <t>الفيل 1-5</t>
  </si>
  <si>
    <t>القلم 17-33</t>
  </si>
  <si>
    <t>البقرة 51-54 | الأعراف 148-152 | طه 85-97</t>
  </si>
  <si>
    <t>يس 13-29</t>
  </si>
  <si>
    <t>الدخان 37 | ق 14</t>
  </si>
  <si>
    <t>الحجر 26-29 | السجدة 7-9 | ص 71-72</t>
  </si>
  <si>
    <t>%</t>
  </si>
  <si>
    <t>❤️ أخلاق</t>
  </si>
  <si>
    <t>🕊️ صبر</t>
  </si>
  <si>
    <t>⭐ قيادة</t>
  </si>
  <si>
    <t>⭐</t>
  </si>
  <si>
    <t>⭐⭐</t>
  </si>
  <si>
    <t>⭐⭐⭐</t>
  </si>
  <si>
    <t>Significance</t>
  </si>
  <si>
    <t>11 بداية الصراع: الله كرّم الإنسان، والشيطان رفض قبول مكانة الإنسان، مما يوضح أن الشيطان يرى الإنسان خصمًا له منذ البداية.
12 سبب الانحراف: إبليس افترض معيارًا من عنده (النار أفضل من الطين) رغم أن الله لم يجعل المادة معيارًا للقيمة، فبدأ الخطأ بمقارنة خاطئة.
13 الانحراف الحقيقي كان الكِبر، لأن إبليس لم يرفض الفعل فقط بل رفض الاعتراف بأن أمر الله هو الحق.
14 الشيطان لم يطلب المغفرة بل طلب الوقت ليكمل صراعه مع الإنسان، مما يبين أن هدفه إضلال البشر.
15 الله أعطاه المهلة ابتلاءً للإنسان، ليتبين من يختار الحق رغم وجود الإغواء.
16 الشيطان أعلن استراتيجيته: سيحاول منع الإنسان من السير في الطريق المستقيم.
17 طريقة الإغواء ستكون متعددة ومن كل اتجاه، ما يعني أن الإنسان يجب أن يتوقع المحاولات باستمرار.
18 نهاية من يتبع الشيطان هي الخسارة، لأن طريقه مبني على العداء للإنسان.</t>
  </si>
  <si>
    <t>28 أصل الإنسان بسيط، لكن قيمته ليست في مادته بل في أمر الله، والشيطان تجاهل ذلك.
29 التكريم جاء بأمر مباشر، مما يعني أن رفضه كان رفضًا للحق الواضح.
30 الملائكة أطاعوا لأنهم جعلوا معيارهم أمر الله لا رأيهم.
31 إبليس جعل رأيه الشخصي فوق الأمر الإلهي، فبدأ الانحراف.
32 الله سأله ليكشف سبب الخطأ ويبين أنه لا يوجد مبرر حقيقي.
33 إبليس تمسك بالمقارنة المادية، وهذا من أساليب الشيطان: إقناع الإنسان بمعايير غير حقيقية.
34 نتيجة الكبر كانت الطرد، مما يبين أن الكبر يمنع رؤية الحقيقة.
35 استمرار اللعنة نتيجة الإصرار على الخطأ.
36 إبليس طلب الاستمرار في الصراع بدل إنهائه بالتوبة.
37 الله أعطاه المهلة ليظهر من يتبع الحق ومن يتبع الهوى.
38 الشيطان يعتمد على تزيين الخطأ حتى يبدو صحيحًا.
39 يعترف أن هدفه إضلال الإنسان، مما يؤكد وجود صراع مستمر.
40 من يعتمد على الله لا يتأثر بسهولة بتزيين الخطأ.
41 الطريق المستقيم واضح لكن يحتاج وعي حتى لا ينحرف الإنسان.
42 الشيطان لا يملك إجبار الإنسان، لكنه يؤثر على من لا ينتبه.
43 نتيجة اتباع الشيطان هي الخسارة.</t>
  </si>
  <si>
    <t>61 تكرار القصة يبين أهمية التحذير من عداوة الشيطان.
62 الشيطان يرى تكريم الإنسان أمرًا لا يستحقه، لذلك يحاول إسقاطه.
63 الإنسان مسؤول عن اختياره حتى مع وجود الإغواء.
64 وسائل الشيطان متعددة: التأثير النفسي، الإغراء، التزيين.
65 الحماية الحقيقية تكون بالارتباط بالله.</t>
  </si>
  <si>
    <t>50 الشيطان كان يعلم الحق لكنه اختار مخالفته، مما يبين أن المعرفة وحدها لا تكفي دون تواضع.</t>
  </si>
  <si>
    <t>116 بداية الخطأ كانت رفض أمر واضح رغم وضوحه.
117 الله حذر الإنسان لأن الشيطان عدو حقيقي وليس مجرد فكرة.
118 الإنسان كان في نعمة قبل الاستماع للوسوسة.
119 لم يكن هناك احتياج حقيقي، لكن الطمع فتح باب الخطأ.
120 الشيطان يستخدم الإقناع التدريجي ليجعل الخطأ يبدو مفيدًا.
121 نتيجة تجاهل التحذير كانت ظهور أثر الخطأ.
122 باب التوبة مفتوح للإنسان رغم وجود العدو.
123 النجاة تكون باتباع الهداية لا باتباع الوسوسة.</t>
  </si>
  <si>
    <t>71 الإنسان خُلق من مادة بسيطة لكن قيمته في التكريم الإلهي.
72 أمر السجود كان اختبارًا للطاعة.
73 الطاعة جاءت من الثقة في أمر الله.
74 الكبر جعل الشيطان يرى نفسه أفضل من غيره.
75 السؤال كشف أن سبب الخطأ هو التعالي.
76 المقارنة الخاطئة كانت أساس الانحراف.
77 نتيجة الكبر كانت الابتعاد عن الحق.
78 استمرار اللعنة نتيجة الإصرار.
79 بدل الاعتراف بالخطأ اختار الاستمرار فيه.
80 الله أعطاه حرية القرار وتحمل النتيجة.
81 أعلن الشيطان أنه سيحاول إغواء البشر.
82 يعترف أن من يركز على الحق لن ينخدع بسهولة.
83 الحقيقة ثابتة حتى لو حاول أحد إنكارها.
84 نتيجة العناد هي الخسارة.
85 كل من يتبع نفس الطريق يصل لنفس النهاية.</t>
  </si>
  <si>
    <t>أبلييس</t>
  </si>
  <si>
    <t>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</si>
</sst>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000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5"/>
      <name val="Calibri"/>
      <family val="2"/>
      <scheme val="minor"/>
    </font>
    <font>
      <u/>
      <sz val="11"/>
      <color theme="1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s>
  <cellStyleXfs count="3">
    <xf numFmtId="0" fontId="0" fillId="0" borderId="0"/>
    <xf numFmtId="9" fontId="1" fillId="0" borderId="0" applyFont="0" applyFill="0" applyBorder="0" applyAlignment="0" applyProtection="0"/>
    <xf numFmtId="0" fontId="5" fillId="0" borderId="0" applyNumberFormat="0" applyFill="0" applyBorder="0" applyAlignment="0" applyProtection="0"/>
  </cellStyleXfs>
  <cellXfs count="47">
    <xf numFmtId="0" fontId="0" fillId="0" borderId="0" xfId="0"/>
    <xf numFmtId="0" fontId="3" fillId="0" borderId="0" xfId="0" applyFont="1" applyAlignment="1">
      <alignment horizontal="center" vertical="center" wrapText="1"/>
    </xf>
    <xf numFmtId="0" fontId="0" fillId="0" borderId="0" xfId="0" applyAlignment="1">
      <alignment vertical="center" wrapText="1"/>
    </xf>
    <xf numFmtId="0" fontId="0" fillId="0" borderId="6" xfId="0" applyBorder="1"/>
    <xf numFmtId="0" fontId="0" fillId="0" borderId="0" xfId="0"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right" vertical="center" wrapText="1" readingOrder="2"/>
    </xf>
    <xf numFmtId="10" fontId="0" fillId="0" borderId="0" xfId="0" applyNumberFormat="1" applyAlignment="1">
      <alignment vertical="center" wrapText="1"/>
    </xf>
    <xf numFmtId="164" fontId="0" fillId="0" borderId="0" xfId="0" applyNumberFormat="1" applyAlignment="1">
      <alignment vertical="center" wrapText="1"/>
    </xf>
    <xf numFmtId="0" fontId="0" fillId="0" borderId="0" xfId="0" applyAlignment="1">
      <alignment wrapText="1"/>
    </xf>
    <xf numFmtId="0" fontId="0" fillId="0" borderId="0" xfId="0" applyAlignment="1">
      <alignment horizontal="right" vertical="center" wrapText="1"/>
    </xf>
    <xf numFmtId="0" fontId="0" fillId="5" borderId="3" xfId="0" applyFill="1" applyBorder="1" applyAlignment="1">
      <alignment wrapText="1" readingOrder="2"/>
    </xf>
    <xf numFmtId="0" fontId="0" fillId="5" borderId="4" xfId="0" applyFill="1" applyBorder="1" applyAlignment="1">
      <alignment horizontal="right" vertical="center" wrapText="1" readingOrder="2"/>
    </xf>
    <xf numFmtId="0" fontId="0" fillId="6" borderId="3" xfId="0" applyFill="1" applyBorder="1" applyAlignment="1">
      <alignment wrapText="1" readingOrder="2"/>
    </xf>
    <xf numFmtId="0" fontId="0" fillId="6" borderId="4" xfId="0" applyFill="1" applyBorder="1" applyAlignment="1">
      <alignment horizontal="right" vertical="center" wrapText="1" readingOrder="2"/>
    </xf>
    <xf numFmtId="0" fontId="0" fillId="5" borderId="3" xfId="0" applyFill="1" applyBorder="1" applyAlignment="1">
      <alignment vertical="center" wrapText="1" readingOrder="2"/>
    </xf>
    <xf numFmtId="0" fontId="0" fillId="6" borderId="3" xfId="0" applyFill="1" applyBorder="1" applyAlignment="1">
      <alignment vertical="center" readingOrder="2"/>
    </xf>
    <xf numFmtId="0" fontId="0" fillId="0" borderId="5" xfId="0" applyBorder="1" applyAlignment="1">
      <alignment horizontal="center" vertical="center" readingOrder="1"/>
    </xf>
    <xf numFmtId="0" fontId="0" fillId="0" borderId="2" xfId="0" applyBorder="1" applyAlignment="1">
      <alignment horizontal="center" vertical="center" readingOrder="1"/>
    </xf>
    <xf numFmtId="0" fontId="2" fillId="2" borderId="7"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2" fillId="2" borderId="3" xfId="0" applyFont="1" applyFill="1" applyBorder="1" applyAlignment="1">
      <alignment horizontal="center" vertical="center" readingOrder="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readingOrder="1"/>
    </xf>
    <xf numFmtId="0" fontId="0" fillId="3" borderId="9" xfId="0" applyFill="1" applyBorder="1" applyAlignment="1">
      <alignment horizontal="center" vertical="center" wrapText="1" readingOrder="1"/>
    </xf>
    <xf numFmtId="0" fontId="0" fillId="3" borderId="1" xfId="0" applyFill="1" applyBorder="1" applyAlignment="1">
      <alignment horizontal="center" vertical="center" wrapText="1" readingOrder="1"/>
    </xf>
    <xf numFmtId="0" fontId="5" fillId="3" borderId="1" xfId="2" applyFill="1" applyBorder="1" applyAlignment="1">
      <alignment horizontal="center" vertical="center" readingOrder="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4" fillId="3" borderId="1" xfId="0" applyFont="1" applyFill="1" applyBorder="1" applyAlignment="1">
      <alignment horizontal="center" vertical="center" readingOrder="1"/>
    </xf>
    <xf numFmtId="9" fontId="0" fillId="3" borderId="1" xfId="1" applyFont="1" applyFill="1" applyBorder="1" applyAlignment="1">
      <alignment horizontal="center" vertical="center" wrapText="1"/>
    </xf>
    <xf numFmtId="0" fontId="0" fillId="3" borderId="1" xfId="0" applyFill="1" applyBorder="1" applyAlignment="1">
      <alignment horizontal="center" vertical="center" readingOrder="1"/>
    </xf>
    <xf numFmtId="0" fontId="0" fillId="3" borderId="2" xfId="0" applyFill="1" applyBorder="1" applyAlignment="1">
      <alignment horizontal="center" vertical="center" readingOrder="1"/>
    </xf>
    <xf numFmtId="0" fontId="0" fillId="0" borderId="9" xfId="0" applyBorder="1" applyAlignment="1">
      <alignment horizontal="center" vertical="center" wrapText="1" readingOrder="1"/>
    </xf>
    <xf numFmtId="0" fontId="0" fillId="0" borderId="1" xfId="0" applyBorder="1" applyAlignment="1">
      <alignment horizontal="center" vertical="center" wrapText="1" readingOrder="1"/>
    </xf>
    <xf numFmtId="0" fontId="0" fillId="0" borderId="1" xfId="0" applyBorder="1" applyAlignment="1">
      <alignment horizontal="center" vertical="center" readingOrder="1"/>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readingOrder="1"/>
    </xf>
    <xf numFmtId="9" fontId="0" fillId="0" borderId="1" xfId="1" applyFont="1" applyBorder="1" applyAlignment="1">
      <alignment horizontal="center" vertical="center" wrapText="1"/>
    </xf>
    <xf numFmtId="0" fontId="0" fillId="0" borderId="10" xfId="0" applyBorder="1" applyAlignment="1">
      <alignment horizontal="center" vertical="center" wrapText="1" readingOrder="1"/>
    </xf>
    <xf numFmtId="0" fontId="0" fillId="0" borderId="4" xfId="0" applyBorder="1" applyAlignment="1">
      <alignment horizontal="center" vertical="center" readingOrder="1"/>
    </xf>
    <xf numFmtId="0" fontId="0" fillId="0" borderId="4" xfId="0" applyBorder="1" applyAlignment="1">
      <alignment vertical="center" wrapText="1"/>
    </xf>
    <xf numFmtId="0" fontId="0" fillId="0" borderId="4" xfId="0" applyBorder="1" applyAlignment="1">
      <alignment horizontal="center" vertical="center" wrapText="1"/>
    </xf>
    <xf numFmtId="0" fontId="4" fillId="0" borderId="4" xfId="0" applyFont="1" applyBorder="1" applyAlignment="1">
      <alignment horizontal="center" vertical="center" readingOrder="1"/>
    </xf>
    <xf numFmtId="9" fontId="0" fillId="0" borderId="4" xfId="1" applyFont="1" applyBorder="1" applyAlignment="1">
      <alignment horizontal="center" vertical="center" wrapText="1"/>
    </xf>
    <xf numFmtId="0" fontId="0" fillId="0" borderId="4" xfId="0" applyBorder="1" applyAlignment="1">
      <alignment horizontal="center" vertical="center" wrapText="1" readingOrder="1"/>
    </xf>
  </cellXfs>
  <cellStyles count="3">
    <cellStyle name="Hyperlink" xfId="2" builtinId="8"/>
    <cellStyle name="Normal" xfId="0" builtinId="0"/>
    <cellStyle name="Percent" xfId="1" builtinId="5"/>
  </cellStyles>
  <dxfs count="15">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1"/>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1"/>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1"/>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1"/>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numFmt numFmtId="13" formatCode="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5"/>
        <name val="Calibri"/>
        <family val="2"/>
        <scheme val="minor"/>
      </font>
      <alignment horizontal="center" vertical="center" textRotation="0" wrapText="0" indent="0" justifyLastLine="0" shrinkToFit="0" readingOrder="1"/>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1"/>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center" textRotation="0" wrapText="1" indent="0" justifyLastLine="0" shrinkToFit="0" readingOrder="1"/>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1"/>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style="thin">
          <color auto="1"/>
        </left>
        <right style="thin">
          <color auto="1"/>
        </right>
        <top style="thin">
          <color auto="1"/>
        </top>
        <bottom style="thin">
          <color auto="1"/>
        </bottom>
      </border>
    </dxf>
    <dxf>
      <border>
        <bottom style="thin">
          <color auto="1"/>
        </bottom>
      </border>
    </dxf>
    <dxf>
      <border diagonalUp="0" diagonalDown="0">
        <left style="thin">
          <color auto="1"/>
        </left>
        <right style="thin">
          <color auto="1"/>
        </right>
        <top/>
        <bottom/>
        <vertical style="thin">
          <color auto="1"/>
        </vertical>
        <horizontal style="thin">
          <color auto="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1662E5-86A7-40AE-902E-9958E1FF8F7A}" name="Table1" displayName="Table1" ref="A1:K39" totalsRowShown="0" headerRowDxfId="14" headerRowBorderDxfId="13" tableBorderDxfId="12" totalsRowBorderDxfId="11">
  <autoFilter ref="A1:K39" xr:uid="{3C1662E5-86A7-40AE-902E-9958E1FF8F7A}"/>
  <tableColumns count="11">
    <tableColumn id="1" xr3:uid="{13F366FF-BA40-4078-9B08-FB296538E91A}" name="#" dataDxfId="10"/>
    <tableColumn id="11" xr3:uid="{2D244531-8DBA-4A51-B83F-955DC73E97E2}" name="Character" dataDxfId="9"/>
    <tableColumn id="2" xr3:uid="{4A3E12E8-22D0-4C22-984C-DF836BBE22F0}" name="Story" dataDxfId="8"/>
    <tableColumn id="3" xr3:uid="{5D00CBD7-53CE-46E5-B2A7-F7BAD573427F}" name="السور والآيات" dataDxfId="7"/>
    <tableColumn id="4" xr3:uid="{4EB5EB3A-CBF8-49CF-B086-97AA4E946E64}" name="عدد الآيات" dataDxfId="6"/>
    <tableColumn id="5" xr3:uid="{7DBEDE9F-F333-4204-BF71-E9C00634A4D1}" name="Significance" dataDxfId="5"/>
    <tableColumn id="6" xr3:uid="{6FE7D07F-8135-4D6C-B737-241EC779F526}" name="%" dataDxfId="4" dataCellStyle="Percent">
      <calculatedColumnFormula>E2/$E$41</calculatedColumnFormula>
    </tableColumn>
    <tableColumn id="7" xr3:uid="{32770F95-A10F-4B59-AE46-BAD35C315A83}" name="Core Value" dataDxfId="3"/>
    <tableColumn id="8" xr3:uid="{2DE11B50-A681-441F-B951-05E478985424}" name="Category" dataDxfId="2"/>
    <tableColumn id="9" xr3:uid="{1D56D43B-8043-42C7-812E-9F152245B891}" name="Skill to be gained" dataDxfId="1"/>
    <tableColumn id="10" xr3:uid="{470614B5-AD92-4824-8E1E-E5313E20B59E}" name="1-line Summ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001-&#1575;&#1576;&#1604;&#1610;&#1587;.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3333-9A17-4FFE-A609-45980BBB76B8}">
  <dimension ref="A1:S41"/>
  <sheetViews>
    <sheetView tabSelected="1" workbookViewId="0">
      <selection activeCell="C2" sqref="C2"/>
    </sheetView>
  </sheetViews>
  <sheetFormatPr defaultRowHeight="14.4" x14ac:dyDescent="0.3"/>
  <cols>
    <col min="1" max="1" width="6.44140625" bestFit="1" customWidth="1"/>
    <col min="2" max="2" width="12.88671875" bestFit="1" customWidth="1"/>
    <col min="3" max="3" width="11.33203125" bestFit="1" customWidth="1"/>
    <col min="4" max="4" width="35.21875" bestFit="1" customWidth="1"/>
    <col min="5" max="5" width="12.88671875" style="4" customWidth="1"/>
    <col min="6" max="6" width="12.88671875" customWidth="1"/>
    <col min="7" max="7" width="6.88671875" style="4" bestFit="1" customWidth="1"/>
    <col min="8" max="8" width="16.109375" bestFit="1" customWidth="1"/>
    <col min="9" max="9" width="13" bestFit="1" customWidth="1"/>
    <col min="10" max="11" width="25.109375" bestFit="1" customWidth="1"/>
    <col min="13" max="13" width="16.21875" bestFit="1" customWidth="1"/>
    <col min="14" max="14" width="35.5546875" bestFit="1" customWidth="1"/>
    <col min="18" max="18" width="22.33203125" bestFit="1" customWidth="1"/>
  </cols>
  <sheetData>
    <row r="1" spans="1:19" x14ac:dyDescent="0.3">
      <c r="A1" s="19" t="s">
        <v>114</v>
      </c>
      <c r="B1" s="20" t="s">
        <v>221</v>
      </c>
      <c r="C1" s="21" t="s">
        <v>115</v>
      </c>
      <c r="D1" s="22" t="s">
        <v>167</v>
      </c>
      <c r="E1" s="22" t="s">
        <v>166</v>
      </c>
      <c r="F1" s="21" t="s">
        <v>213</v>
      </c>
      <c r="G1" s="22" t="s">
        <v>206</v>
      </c>
      <c r="H1" s="21" t="s">
        <v>116</v>
      </c>
      <c r="I1" s="20" t="s">
        <v>117</v>
      </c>
      <c r="J1" s="20" t="s">
        <v>165</v>
      </c>
      <c r="K1" s="23" t="s">
        <v>118</v>
      </c>
      <c r="M1" s="1"/>
      <c r="N1" s="1"/>
      <c r="O1" s="1"/>
      <c r="P1" s="1"/>
      <c r="Q1" s="1"/>
      <c r="R1" s="1"/>
      <c r="S1" s="1"/>
    </row>
    <row r="2" spans="1:19" ht="72" x14ac:dyDescent="0.3">
      <c r="A2" s="24">
        <v>1</v>
      </c>
      <c r="B2" s="25" t="s">
        <v>3</v>
      </c>
      <c r="C2" s="26" t="s">
        <v>3</v>
      </c>
      <c r="D2" s="27" t="s">
        <v>168</v>
      </c>
      <c r="E2" s="28">
        <v>42</v>
      </c>
      <c r="F2" s="29" t="s">
        <v>210</v>
      </c>
      <c r="G2" s="30">
        <f t="shared" ref="G2:G39" si="0">E2/$E$41</f>
        <v>3.3573141486810551E-2</v>
      </c>
      <c r="H2" s="31" t="s">
        <v>113</v>
      </c>
      <c r="I2" s="25" t="s">
        <v>207</v>
      </c>
      <c r="J2" s="25" t="s">
        <v>164</v>
      </c>
      <c r="K2" s="32" t="s">
        <v>4</v>
      </c>
      <c r="M2" s="2"/>
      <c r="N2" s="2"/>
      <c r="O2" s="2"/>
      <c r="P2" s="2"/>
      <c r="Q2" s="7"/>
      <c r="R2" s="2"/>
      <c r="S2" s="8"/>
    </row>
    <row r="3" spans="1:19" ht="28.8" x14ac:dyDescent="0.3">
      <c r="A3" s="33">
        <v>2</v>
      </c>
      <c r="B3" s="34" t="s">
        <v>0</v>
      </c>
      <c r="C3" s="35" t="s">
        <v>0</v>
      </c>
      <c r="D3" s="36" t="s">
        <v>169</v>
      </c>
      <c r="E3" s="37">
        <v>48</v>
      </c>
      <c r="F3" s="38" t="s">
        <v>210</v>
      </c>
      <c r="G3" s="39">
        <f t="shared" si="0"/>
        <v>3.8369304556354913E-2</v>
      </c>
      <c r="H3" s="35" t="s">
        <v>1</v>
      </c>
      <c r="I3" s="34" t="s">
        <v>207</v>
      </c>
      <c r="J3" s="34" t="s">
        <v>127</v>
      </c>
      <c r="K3" s="18" t="s">
        <v>2</v>
      </c>
      <c r="M3" s="2"/>
      <c r="N3" s="2"/>
      <c r="O3" s="2"/>
      <c r="P3" s="2"/>
      <c r="Q3" s="7"/>
      <c r="R3" s="2"/>
      <c r="S3" s="2"/>
    </row>
    <row r="4" spans="1:19" ht="28.8" x14ac:dyDescent="0.3">
      <c r="A4" s="24">
        <v>3</v>
      </c>
      <c r="B4" s="25" t="s">
        <v>5</v>
      </c>
      <c r="C4" s="31" t="s">
        <v>5</v>
      </c>
      <c r="D4" s="27" t="s">
        <v>170</v>
      </c>
      <c r="E4" s="28">
        <v>6</v>
      </c>
      <c r="F4" s="29" t="s">
        <v>210</v>
      </c>
      <c r="G4" s="30">
        <f t="shared" si="0"/>
        <v>4.7961630695443642E-3</v>
      </c>
      <c r="H4" s="31" t="s">
        <v>6</v>
      </c>
      <c r="I4" s="25" t="s">
        <v>207</v>
      </c>
      <c r="J4" s="25" t="s">
        <v>137</v>
      </c>
      <c r="K4" s="32" t="s">
        <v>7</v>
      </c>
      <c r="M4" s="2"/>
      <c r="N4" s="2"/>
      <c r="O4" s="2"/>
      <c r="P4" s="2"/>
      <c r="Q4" s="7"/>
      <c r="R4" s="2"/>
      <c r="S4" s="2"/>
    </row>
    <row r="5" spans="1:19" ht="57.6" x14ac:dyDescent="0.3">
      <c r="A5" s="33">
        <v>4</v>
      </c>
      <c r="B5" s="34" t="s">
        <v>8</v>
      </c>
      <c r="C5" s="35" t="s">
        <v>8</v>
      </c>
      <c r="D5" s="36" t="s">
        <v>171</v>
      </c>
      <c r="E5" s="37">
        <v>82</v>
      </c>
      <c r="F5" s="38" t="s">
        <v>211</v>
      </c>
      <c r="G5" s="39">
        <f t="shared" si="0"/>
        <v>6.5547561950439648E-2</v>
      </c>
      <c r="H5" s="35" t="s">
        <v>9</v>
      </c>
      <c r="I5" s="34" t="s">
        <v>208</v>
      </c>
      <c r="J5" s="34" t="s">
        <v>138</v>
      </c>
      <c r="K5" s="18" t="s">
        <v>10</v>
      </c>
      <c r="M5" s="2"/>
      <c r="N5" s="2"/>
      <c r="O5" s="2"/>
      <c r="P5" s="2"/>
      <c r="Q5" s="7"/>
      <c r="R5" s="2"/>
      <c r="S5" s="2"/>
    </row>
    <row r="6" spans="1:19" ht="28.8" x14ac:dyDescent="0.3">
      <c r="A6" s="24">
        <v>5</v>
      </c>
      <c r="B6" s="25" t="s">
        <v>11</v>
      </c>
      <c r="C6" s="31" t="s">
        <v>11</v>
      </c>
      <c r="D6" s="27" t="s">
        <v>172</v>
      </c>
      <c r="E6" s="28">
        <v>41</v>
      </c>
      <c r="F6" s="29" t="s">
        <v>210</v>
      </c>
      <c r="G6" s="30">
        <f t="shared" si="0"/>
        <v>3.2773780975219824E-2</v>
      </c>
      <c r="H6" s="31" t="s">
        <v>12</v>
      </c>
      <c r="I6" s="25" t="s">
        <v>209</v>
      </c>
      <c r="J6" s="25" t="s">
        <v>139</v>
      </c>
      <c r="K6" s="32" t="s">
        <v>13</v>
      </c>
      <c r="M6" s="2"/>
      <c r="N6" s="2"/>
      <c r="O6" s="2"/>
      <c r="P6" s="2"/>
      <c r="Q6" s="7"/>
      <c r="R6" s="2"/>
      <c r="S6" s="2"/>
    </row>
    <row r="7" spans="1:19" ht="43.2" x14ac:dyDescent="0.3">
      <c r="A7" s="33">
        <v>6</v>
      </c>
      <c r="B7" s="34" t="s">
        <v>14</v>
      </c>
      <c r="C7" s="35" t="s">
        <v>14</v>
      </c>
      <c r="D7" s="36" t="s">
        <v>173</v>
      </c>
      <c r="E7" s="37">
        <v>46</v>
      </c>
      <c r="F7" s="38" t="s">
        <v>210</v>
      </c>
      <c r="G7" s="39">
        <f t="shared" si="0"/>
        <v>3.6770583533173459E-2</v>
      </c>
      <c r="H7" s="35" t="s">
        <v>15</v>
      </c>
      <c r="I7" s="34" t="s">
        <v>207</v>
      </c>
      <c r="J7" s="34" t="s">
        <v>140</v>
      </c>
      <c r="K7" s="18" t="s">
        <v>16</v>
      </c>
      <c r="M7" s="2"/>
      <c r="N7" s="2"/>
      <c r="O7" s="2"/>
      <c r="P7" s="2"/>
      <c r="Q7" s="7"/>
      <c r="R7" s="2"/>
      <c r="S7" s="2"/>
    </row>
    <row r="8" spans="1:19" ht="57.6" x14ac:dyDescent="0.3">
      <c r="A8" s="24">
        <v>7</v>
      </c>
      <c r="B8" s="25" t="s">
        <v>17</v>
      </c>
      <c r="C8" s="31" t="s">
        <v>17</v>
      </c>
      <c r="D8" s="27" t="s">
        <v>174</v>
      </c>
      <c r="E8" s="28">
        <v>130</v>
      </c>
      <c r="F8" s="29" t="s">
        <v>212</v>
      </c>
      <c r="G8" s="30">
        <f t="shared" si="0"/>
        <v>0.10391686650679456</v>
      </c>
      <c r="H8" s="31" t="s">
        <v>18</v>
      </c>
      <c r="I8" s="25" t="s">
        <v>209</v>
      </c>
      <c r="J8" s="25" t="s">
        <v>141</v>
      </c>
      <c r="K8" s="32" t="s">
        <v>19</v>
      </c>
      <c r="M8" s="2"/>
      <c r="N8" s="2"/>
      <c r="O8" s="2"/>
      <c r="P8" s="2"/>
      <c r="Q8" s="7"/>
      <c r="R8" s="2"/>
      <c r="S8" s="2"/>
    </row>
    <row r="9" spans="1:19" ht="28.8" x14ac:dyDescent="0.3">
      <c r="A9" s="33">
        <v>8</v>
      </c>
      <c r="B9" s="34" t="s">
        <v>17</v>
      </c>
      <c r="C9" s="35" t="s">
        <v>20</v>
      </c>
      <c r="D9" s="36" t="s">
        <v>175</v>
      </c>
      <c r="E9" s="37">
        <v>2</v>
      </c>
      <c r="F9" s="38" t="s">
        <v>210</v>
      </c>
      <c r="G9" s="39">
        <f t="shared" si="0"/>
        <v>1.5987210231814548E-3</v>
      </c>
      <c r="H9" s="35" t="s">
        <v>21</v>
      </c>
      <c r="I9" s="34" t="s">
        <v>209</v>
      </c>
      <c r="J9" s="34" t="s">
        <v>142</v>
      </c>
      <c r="K9" s="18" t="s">
        <v>22</v>
      </c>
      <c r="M9" s="2"/>
      <c r="N9" s="2"/>
      <c r="O9" s="2"/>
      <c r="P9" s="2"/>
      <c r="Q9" s="7"/>
      <c r="R9" s="2"/>
      <c r="S9" s="2"/>
    </row>
    <row r="10" spans="1:19" x14ac:dyDescent="0.3">
      <c r="A10" s="24">
        <v>9</v>
      </c>
      <c r="B10" s="31" t="s">
        <v>23</v>
      </c>
      <c r="C10" s="31" t="s">
        <v>23</v>
      </c>
      <c r="D10" s="27" t="s">
        <v>176</v>
      </c>
      <c r="E10" s="28">
        <v>6</v>
      </c>
      <c r="F10" s="29" t="s">
        <v>210</v>
      </c>
      <c r="G10" s="30">
        <f t="shared" si="0"/>
        <v>4.7961630695443642E-3</v>
      </c>
      <c r="H10" s="31" t="s">
        <v>24</v>
      </c>
      <c r="I10" s="25" t="s">
        <v>208</v>
      </c>
      <c r="J10" s="25" t="s">
        <v>143</v>
      </c>
      <c r="K10" s="32" t="s">
        <v>25</v>
      </c>
      <c r="M10" s="2"/>
      <c r="N10" s="2"/>
      <c r="O10" s="2"/>
      <c r="P10" s="2"/>
      <c r="Q10" s="7"/>
      <c r="R10" s="2"/>
      <c r="S10" s="2"/>
    </row>
    <row r="11" spans="1:19" ht="57.6" x14ac:dyDescent="0.3">
      <c r="A11" s="33">
        <v>10</v>
      </c>
      <c r="B11" s="35" t="s">
        <v>26</v>
      </c>
      <c r="C11" s="35" t="s">
        <v>26</v>
      </c>
      <c r="D11" s="36" t="s">
        <v>177</v>
      </c>
      <c r="E11" s="37">
        <v>55</v>
      </c>
      <c r="F11" s="38" t="s">
        <v>211</v>
      </c>
      <c r="G11" s="39">
        <f t="shared" si="0"/>
        <v>4.396482813749001E-2</v>
      </c>
      <c r="H11" s="35" t="s">
        <v>27</v>
      </c>
      <c r="I11" s="34" t="s">
        <v>207</v>
      </c>
      <c r="J11" s="34" t="s">
        <v>128</v>
      </c>
      <c r="K11" s="18" t="s">
        <v>28</v>
      </c>
      <c r="M11" s="2"/>
      <c r="N11" s="2"/>
      <c r="O11" s="2"/>
      <c r="P11" s="2"/>
      <c r="Q11" s="7"/>
      <c r="R11" s="2"/>
      <c r="S11" s="2"/>
    </row>
    <row r="12" spans="1:19" ht="28.8" x14ac:dyDescent="0.3">
      <c r="A12" s="24">
        <v>11</v>
      </c>
      <c r="B12" s="31" t="s">
        <v>29</v>
      </c>
      <c r="C12" s="31" t="s">
        <v>29</v>
      </c>
      <c r="D12" s="27" t="s">
        <v>178</v>
      </c>
      <c r="E12" s="28">
        <v>42</v>
      </c>
      <c r="F12" s="29" t="s">
        <v>210</v>
      </c>
      <c r="G12" s="30">
        <f t="shared" si="0"/>
        <v>3.3573141486810551E-2</v>
      </c>
      <c r="H12" s="31" t="s">
        <v>30</v>
      </c>
      <c r="I12" s="25" t="s">
        <v>31</v>
      </c>
      <c r="J12" s="25" t="s">
        <v>144</v>
      </c>
      <c r="K12" s="32" t="s">
        <v>32</v>
      </c>
      <c r="M12" s="2"/>
      <c r="N12" s="2"/>
      <c r="O12" s="2"/>
      <c r="P12" s="2"/>
      <c r="Q12" s="7"/>
      <c r="R12" s="2"/>
      <c r="S12" s="2"/>
    </row>
    <row r="13" spans="1:19" x14ac:dyDescent="0.3">
      <c r="A13" s="33">
        <v>12</v>
      </c>
      <c r="B13" s="35" t="s">
        <v>33</v>
      </c>
      <c r="C13" s="35" t="s">
        <v>33</v>
      </c>
      <c r="D13" s="36" t="s">
        <v>179</v>
      </c>
      <c r="E13" s="37">
        <v>98</v>
      </c>
      <c r="F13" s="38" t="s">
        <v>211</v>
      </c>
      <c r="G13" s="39">
        <f t="shared" si="0"/>
        <v>7.8337330135891281E-2</v>
      </c>
      <c r="H13" s="35" t="s">
        <v>34</v>
      </c>
      <c r="I13" s="34" t="s">
        <v>31</v>
      </c>
      <c r="J13" s="34" t="s">
        <v>145</v>
      </c>
      <c r="K13" s="18" t="s">
        <v>35</v>
      </c>
      <c r="M13" s="2"/>
      <c r="N13" s="2"/>
      <c r="O13" s="2"/>
      <c r="P13" s="2"/>
      <c r="Q13" s="7"/>
      <c r="R13" s="2"/>
      <c r="S13" s="2"/>
    </row>
    <row r="14" spans="1:19" x14ac:dyDescent="0.3">
      <c r="A14" s="24">
        <v>13</v>
      </c>
      <c r="B14" s="31" t="s">
        <v>36</v>
      </c>
      <c r="C14" s="31" t="s">
        <v>36</v>
      </c>
      <c r="D14" s="27" t="s">
        <v>180</v>
      </c>
      <c r="E14" s="28">
        <v>6</v>
      </c>
      <c r="F14" s="29" t="s">
        <v>210</v>
      </c>
      <c r="G14" s="30">
        <f t="shared" si="0"/>
        <v>4.7961630695443642E-3</v>
      </c>
      <c r="H14" s="31" t="s">
        <v>37</v>
      </c>
      <c r="I14" s="25" t="s">
        <v>208</v>
      </c>
      <c r="J14" s="25" t="s">
        <v>146</v>
      </c>
      <c r="K14" s="32" t="s">
        <v>38</v>
      </c>
      <c r="M14" s="2"/>
      <c r="N14" s="2"/>
      <c r="O14" s="2"/>
      <c r="P14" s="2"/>
      <c r="Q14" s="7"/>
      <c r="R14" s="2"/>
      <c r="S14" s="2"/>
    </row>
    <row r="15" spans="1:19" ht="28.8" x14ac:dyDescent="0.3">
      <c r="A15" s="33">
        <v>14</v>
      </c>
      <c r="B15" s="35" t="s">
        <v>39</v>
      </c>
      <c r="C15" s="35" t="s">
        <v>39</v>
      </c>
      <c r="D15" s="36" t="s">
        <v>181</v>
      </c>
      <c r="E15" s="37">
        <v>10</v>
      </c>
      <c r="F15" s="38" t="s">
        <v>210</v>
      </c>
      <c r="G15" s="39">
        <f t="shared" si="0"/>
        <v>7.9936051159072742E-3</v>
      </c>
      <c r="H15" s="35" t="s">
        <v>40</v>
      </c>
      <c r="I15" s="34" t="s">
        <v>207</v>
      </c>
      <c r="J15" s="34" t="s">
        <v>147</v>
      </c>
      <c r="K15" s="18" t="s">
        <v>41</v>
      </c>
      <c r="M15" s="2"/>
      <c r="N15" s="2"/>
      <c r="O15" s="2"/>
      <c r="P15" s="2"/>
      <c r="Q15" s="7"/>
      <c r="R15" s="2"/>
      <c r="S15" s="2"/>
    </row>
    <row r="16" spans="1:19" ht="57.6" x14ac:dyDescent="0.3">
      <c r="A16" s="24">
        <v>15</v>
      </c>
      <c r="B16" s="25" t="s">
        <v>42</v>
      </c>
      <c r="C16" s="31" t="s">
        <v>42</v>
      </c>
      <c r="D16" s="27" t="s">
        <v>182</v>
      </c>
      <c r="E16" s="28">
        <v>175</v>
      </c>
      <c r="F16" s="29" t="s">
        <v>212</v>
      </c>
      <c r="G16" s="30">
        <f t="shared" si="0"/>
        <v>0.13988808952837731</v>
      </c>
      <c r="H16" s="31" t="s">
        <v>43</v>
      </c>
      <c r="I16" s="25" t="s">
        <v>209</v>
      </c>
      <c r="J16" s="25" t="s">
        <v>129</v>
      </c>
      <c r="K16" s="32" t="s">
        <v>44</v>
      </c>
      <c r="M16" s="2"/>
      <c r="N16" s="2"/>
      <c r="O16" s="2"/>
      <c r="P16" s="2"/>
      <c r="Q16" s="7"/>
      <c r="R16" s="2"/>
      <c r="S16" s="2"/>
    </row>
    <row r="17" spans="1:19" ht="57.6" x14ac:dyDescent="0.3">
      <c r="A17" s="33">
        <v>16</v>
      </c>
      <c r="B17" s="34" t="s">
        <v>42</v>
      </c>
      <c r="C17" s="35" t="s">
        <v>45</v>
      </c>
      <c r="D17" s="36" t="s">
        <v>183</v>
      </c>
      <c r="E17" s="37">
        <v>158</v>
      </c>
      <c r="F17" s="38" t="s">
        <v>212</v>
      </c>
      <c r="G17" s="39">
        <f t="shared" si="0"/>
        <v>0.12629896083133493</v>
      </c>
      <c r="H17" s="35" t="s">
        <v>46</v>
      </c>
      <c r="I17" s="34" t="s">
        <v>209</v>
      </c>
      <c r="J17" s="34" t="s">
        <v>130</v>
      </c>
      <c r="K17" s="18" t="s">
        <v>47</v>
      </c>
      <c r="M17" s="2"/>
      <c r="N17" s="2"/>
      <c r="O17" s="2"/>
      <c r="P17" s="2"/>
      <c r="Q17" s="7"/>
      <c r="R17" s="2"/>
      <c r="S17" s="2"/>
    </row>
    <row r="18" spans="1:19" ht="28.8" x14ac:dyDescent="0.3">
      <c r="A18" s="24">
        <v>17</v>
      </c>
      <c r="B18" s="25" t="s">
        <v>42</v>
      </c>
      <c r="C18" s="31" t="s">
        <v>48</v>
      </c>
      <c r="D18" s="27" t="s">
        <v>184</v>
      </c>
      <c r="E18" s="28">
        <v>23</v>
      </c>
      <c r="F18" s="29" t="s">
        <v>210</v>
      </c>
      <c r="G18" s="30">
        <f t="shared" si="0"/>
        <v>1.838529176658673E-2</v>
      </c>
      <c r="H18" s="31" t="s">
        <v>49</v>
      </c>
      <c r="I18" s="25" t="s">
        <v>31</v>
      </c>
      <c r="J18" s="25" t="s">
        <v>148</v>
      </c>
      <c r="K18" s="32" t="s">
        <v>50</v>
      </c>
      <c r="M18" s="2"/>
      <c r="N18" s="2"/>
      <c r="O18" s="2"/>
      <c r="P18" s="2"/>
      <c r="Q18" s="7"/>
      <c r="R18" s="2"/>
      <c r="S18" s="2"/>
    </row>
    <row r="19" spans="1:19" x14ac:dyDescent="0.3">
      <c r="A19" s="33">
        <v>18</v>
      </c>
      <c r="B19" s="35" t="s">
        <v>51</v>
      </c>
      <c r="C19" s="35" t="s">
        <v>51</v>
      </c>
      <c r="D19" s="36" t="s">
        <v>185</v>
      </c>
      <c r="E19" s="37">
        <v>7</v>
      </c>
      <c r="F19" s="38" t="s">
        <v>210</v>
      </c>
      <c r="G19" s="39">
        <f t="shared" si="0"/>
        <v>5.5955235811350921E-3</v>
      </c>
      <c r="H19" s="35" t="s">
        <v>52</v>
      </c>
      <c r="I19" s="34" t="s">
        <v>207</v>
      </c>
      <c r="J19" s="34" t="s">
        <v>149</v>
      </c>
      <c r="K19" s="18" t="s">
        <v>53</v>
      </c>
      <c r="M19" s="2"/>
      <c r="N19" s="2"/>
      <c r="O19" s="2"/>
      <c r="P19" s="2"/>
      <c r="Q19" s="7"/>
      <c r="R19" s="2"/>
      <c r="S19" s="2"/>
    </row>
    <row r="20" spans="1:19" x14ac:dyDescent="0.3">
      <c r="A20" s="24">
        <v>19</v>
      </c>
      <c r="B20" s="31" t="s">
        <v>54</v>
      </c>
      <c r="C20" s="31" t="s">
        <v>54</v>
      </c>
      <c r="D20" s="27" t="s">
        <v>186</v>
      </c>
      <c r="E20" s="28">
        <v>6</v>
      </c>
      <c r="F20" s="29" t="s">
        <v>210</v>
      </c>
      <c r="G20" s="30">
        <f t="shared" si="0"/>
        <v>4.7961630695443642E-3</v>
      </c>
      <c r="H20" s="31" t="s">
        <v>55</v>
      </c>
      <c r="I20" s="25" t="s">
        <v>209</v>
      </c>
      <c r="J20" s="25" t="s">
        <v>131</v>
      </c>
      <c r="K20" s="32" t="s">
        <v>56</v>
      </c>
      <c r="M20" s="2"/>
      <c r="N20" s="2"/>
      <c r="O20" s="2"/>
      <c r="P20" s="2"/>
      <c r="Q20" s="7"/>
      <c r="R20" s="2"/>
      <c r="S20" s="2"/>
    </row>
    <row r="21" spans="1:19" x14ac:dyDescent="0.3">
      <c r="A21" s="33">
        <v>20</v>
      </c>
      <c r="B21" s="35" t="s">
        <v>57</v>
      </c>
      <c r="C21" s="35" t="s">
        <v>57</v>
      </c>
      <c r="D21" s="36" t="s">
        <v>187</v>
      </c>
      <c r="E21" s="37">
        <v>1</v>
      </c>
      <c r="F21" s="38" t="s">
        <v>210</v>
      </c>
      <c r="G21" s="39">
        <f t="shared" si="0"/>
        <v>7.993605115907274E-4</v>
      </c>
      <c r="H21" s="35" t="s">
        <v>58</v>
      </c>
      <c r="I21" s="34" t="s">
        <v>209</v>
      </c>
      <c r="J21" s="34" t="s">
        <v>132</v>
      </c>
      <c r="K21" s="18" t="s">
        <v>59</v>
      </c>
      <c r="M21" s="2"/>
      <c r="N21" s="2"/>
      <c r="O21" s="2"/>
      <c r="P21" s="2"/>
      <c r="Q21" s="7"/>
      <c r="R21" s="2"/>
      <c r="S21" s="2"/>
    </row>
    <row r="22" spans="1:19" x14ac:dyDescent="0.3">
      <c r="A22" s="24">
        <v>21</v>
      </c>
      <c r="B22" s="31" t="s">
        <v>60</v>
      </c>
      <c r="C22" s="31" t="s">
        <v>60</v>
      </c>
      <c r="D22" s="27" t="s">
        <v>188</v>
      </c>
      <c r="E22" s="28">
        <v>16</v>
      </c>
      <c r="F22" s="29" t="s">
        <v>210</v>
      </c>
      <c r="G22" s="30">
        <f t="shared" si="0"/>
        <v>1.2789768185451638E-2</v>
      </c>
      <c r="H22" s="31" t="s">
        <v>61</v>
      </c>
      <c r="I22" s="25" t="s">
        <v>209</v>
      </c>
      <c r="J22" s="25" t="s">
        <v>150</v>
      </c>
      <c r="K22" s="32" t="s">
        <v>62</v>
      </c>
      <c r="M22" s="2"/>
      <c r="N22" s="2"/>
      <c r="O22" s="2"/>
      <c r="P22" s="2"/>
      <c r="Q22" s="7"/>
      <c r="R22" s="2"/>
      <c r="S22" s="2"/>
    </row>
    <row r="23" spans="1:19" ht="28.8" x14ac:dyDescent="0.3">
      <c r="A23" s="33">
        <v>22</v>
      </c>
      <c r="B23" s="35" t="s">
        <v>63</v>
      </c>
      <c r="C23" s="35" t="s">
        <v>63</v>
      </c>
      <c r="D23" s="36" t="s">
        <v>189</v>
      </c>
      <c r="E23" s="37">
        <v>28</v>
      </c>
      <c r="F23" s="38" t="s">
        <v>210</v>
      </c>
      <c r="G23" s="39">
        <f t="shared" si="0"/>
        <v>2.2382094324540368E-2</v>
      </c>
      <c r="H23" s="35" t="s">
        <v>64</v>
      </c>
      <c r="I23" s="34" t="s">
        <v>31</v>
      </c>
      <c r="J23" s="34" t="s">
        <v>151</v>
      </c>
      <c r="K23" s="18" t="s">
        <v>65</v>
      </c>
      <c r="M23" s="2"/>
      <c r="N23" s="2"/>
      <c r="O23" s="2"/>
      <c r="P23" s="2"/>
      <c r="Q23" s="7"/>
      <c r="R23" s="2"/>
      <c r="S23" s="2"/>
    </row>
    <row r="24" spans="1:19" x14ac:dyDescent="0.3">
      <c r="A24" s="24">
        <v>23</v>
      </c>
      <c r="B24" s="31" t="s">
        <v>66</v>
      </c>
      <c r="C24" s="31" t="s">
        <v>66</v>
      </c>
      <c r="D24" s="27" t="s">
        <v>190</v>
      </c>
      <c r="E24" s="28">
        <v>23</v>
      </c>
      <c r="F24" s="29" t="s">
        <v>210</v>
      </c>
      <c r="G24" s="30">
        <f t="shared" si="0"/>
        <v>1.838529176658673E-2</v>
      </c>
      <c r="H24" s="31" t="s">
        <v>67</v>
      </c>
      <c r="I24" s="25" t="s">
        <v>31</v>
      </c>
      <c r="J24" s="25" t="s">
        <v>152</v>
      </c>
      <c r="K24" s="32" t="s">
        <v>68</v>
      </c>
      <c r="M24" s="2"/>
      <c r="N24" s="2"/>
      <c r="O24" s="2"/>
      <c r="P24" s="2"/>
      <c r="Q24" s="7"/>
      <c r="R24" s="2"/>
      <c r="S24" s="2"/>
    </row>
    <row r="25" spans="1:19" x14ac:dyDescent="0.3">
      <c r="A25" s="33">
        <v>24</v>
      </c>
      <c r="B25" s="35" t="s">
        <v>69</v>
      </c>
      <c r="C25" s="35" t="s">
        <v>69</v>
      </c>
      <c r="D25" s="36" t="s">
        <v>191</v>
      </c>
      <c r="E25" s="37">
        <v>11</v>
      </c>
      <c r="F25" s="38" t="s">
        <v>210</v>
      </c>
      <c r="G25" s="39">
        <f t="shared" si="0"/>
        <v>8.7929656274980013E-3</v>
      </c>
      <c r="H25" s="35" t="s">
        <v>70</v>
      </c>
      <c r="I25" s="34" t="s">
        <v>208</v>
      </c>
      <c r="J25" s="34" t="s">
        <v>133</v>
      </c>
      <c r="K25" s="18" t="s">
        <v>71</v>
      </c>
      <c r="M25" s="2"/>
      <c r="N25" s="2"/>
      <c r="O25" s="2"/>
      <c r="P25" s="2"/>
      <c r="Q25" s="7"/>
      <c r="R25" s="2"/>
      <c r="S25" s="2"/>
    </row>
    <row r="26" spans="1:19" x14ac:dyDescent="0.3">
      <c r="A26" s="24">
        <v>25</v>
      </c>
      <c r="B26" s="31" t="s">
        <v>72</v>
      </c>
      <c r="C26" s="31" t="s">
        <v>72</v>
      </c>
      <c r="D26" s="27" t="s">
        <v>192</v>
      </c>
      <c r="E26" s="28">
        <v>5</v>
      </c>
      <c r="F26" s="29" t="s">
        <v>210</v>
      </c>
      <c r="G26" s="30">
        <f t="shared" si="0"/>
        <v>3.9968025579536371E-3</v>
      </c>
      <c r="H26" s="31" t="s">
        <v>73</v>
      </c>
      <c r="I26" s="25" t="s">
        <v>207</v>
      </c>
      <c r="J26" s="25" t="s">
        <v>134</v>
      </c>
      <c r="K26" s="32" t="s">
        <v>74</v>
      </c>
      <c r="M26" s="2"/>
      <c r="N26" s="2"/>
      <c r="O26" s="2"/>
      <c r="P26" s="2"/>
      <c r="Q26" s="7"/>
      <c r="R26" s="2"/>
      <c r="S26" s="2"/>
    </row>
    <row r="27" spans="1:19" x14ac:dyDescent="0.3">
      <c r="A27" s="33">
        <v>26</v>
      </c>
      <c r="B27" s="35" t="s">
        <v>75</v>
      </c>
      <c r="C27" s="35" t="s">
        <v>75</v>
      </c>
      <c r="D27" s="36" t="s">
        <v>193</v>
      </c>
      <c r="E27" s="37">
        <v>19</v>
      </c>
      <c r="F27" s="38" t="s">
        <v>210</v>
      </c>
      <c r="G27" s="39">
        <f t="shared" si="0"/>
        <v>1.5187849720223821E-2</v>
      </c>
      <c r="H27" s="35" t="s">
        <v>126</v>
      </c>
      <c r="I27" s="34" t="s">
        <v>207</v>
      </c>
      <c r="J27" s="34" t="s">
        <v>153</v>
      </c>
      <c r="K27" s="18" t="s">
        <v>76</v>
      </c>
      <c r="M27" s="2"/>
      <c r="N27" s="2"/>
      <c r="O27" s="2"/>
      <c r="P27" s="2"/>
      <c r="Q27" s="7"/>
      <c r="R27" s="2"/>
      <c r="S27" s="2"/>
    </row>
    <row r="28" spans="1:19" ht="43.2" x14ac:dyDescent="0.3">
      <c r="A28" s="24">
        <v>27</v>
      </c>
      <c r="B28" s="31" t="s">
        <v>77</v>
      </c>
      <c r="C28" s="31" t="s">
        <v>77</v>
      </c>
      <c r="D28" s="27" t="s">
        <v>194</v>
      </c>
      <c r="E28" s="28">
        <v>44</v>
      </c>
      <c r="F28" s="29" t="s">
        <v>210</v>
      </c>
      <c r="G28" s="30">
        <f t="shared" si="0"/>
        <v>3.5171862509992005E-2</v>
      </c>
      <c r="H28" s="31" t="s">
        <v>78</v>
      </c>
      <c r="I28" s="25" t="s">
        <v>207</v>
      </c>
      <c r="J28" s="25" t="s">
        <v>154</v>
      </c>
      <c r="K28" s="32" t="s">
        <v>79</v>
      </c>
      <c r="M28" s="2"/>
      <c r="N28" s="2"/>
      <c r="O28" s="2"/>
      <c r="P28" s="2"/>
      <c r="Q28" s="7"/>
      <c r="R28" s="2"/>
      <c r="S28" s="2"/>
    </row>
    <row r="29" spans="1:19" x14ac:dyDescent="0.3">
      <c r="A29" s="33">
        <v>28</v>
      </c>
      <c r="B29" s="35" t="s">
        <v>80</v>
      </c>
      <c r="C29" s="35" t="s">
        <v>80</v>
      </c>
      <c r="D29" s="36" t="s">
        <v>195</v>
      </c>
      <c r="E29" s="37">
        <v>18</v>
      </c>
      <c r="F29" s="38" t="s">
        <v>210</v>
      </c>
      <c r="G29" s="39">
        <f t="shared" si="0"/>
        <v>1.4388489208633094E-2</v>
      </c>
      <c r="H29" s="35" t="s">
        <v>81</v>
      </c>
      <c r="I29" s="34" t="s">
        <v>208</v>
      </c>
      <c r="J29" s="34" t="s">
        <v>155</v>
      </c>
      <c r="K29" s="18" t="s">
        <v>82</v>
      </c>
      <c r="M29" s="2"/>
      <c r="N29" s="2"/>
      <c r="O29" s="2"/>
      <c r="P29" s="2"/>
      <c r="Q29" s="7"/>
      <c r="R29" s="2"/>
      <c r="S29" s="2"/>
    </row>
    <row r="30" spans="1:19" x14ac:dyDescent="0.3">
      <c r="A30" s="24">
        <v>29</v>
      </c>
      <c r="B30" s="31" t="s">
        <v>83</v>
      </c>
      <c r="C30" s="31" t="s">
        <v>83</v>
      </c>
      <c r="D30" s="27" t="s">
        <v>196</v>
      </c>
      <c r="E30" s="28">
        <v>16</v>
      </c>
      <c r="F30" s="29" t="s">
        <v>210</v>
      </c>
      <c r="G30" s="30">
        <f t="shared" si="0"/>
        <v>1.2789768185451638E-2</v>
      </c>
      <c r="H30" s="31" t="s">
        <v>84</v>
      </c>
      <c r="I30" s="25" t="s">
        <v>209</v>
      </c>
      <c r="J30" s="25" t="s">
        <v>156</v>
      </c>
      <c r="K30" s="32" t="s">
        <v>85</v>
      </c>
      <c r="M30" s="2"/>
      <c r="N30" s="2"/>
      <c r="O30" s="2"/>
      <c r="P30" s="2"/>
      <c r="Q30" s="7"/>
      <c r="R30" s="2"/>
      <c r="S30" s="2"/>
    </row>
    <row r="31" spans="1:19" x14ac:dyDescent="0.3">
      <c r="A31" s="33">
        <v>30</v>
      </c>
      <c r="B31" s="35" t="s">
        <v>86</v>
      </c>
      <c r="C31" s="35" t="s">
        <v>86</v>
      </c>
      <c r="D31" s="36" t="s">
        <v>197</v>
      </c>
      <c r="E31" s="37">
        <v>8</v>
      </c>
      <c r="F31" s="38" t="s">
        <v>210</v>
      </c>
      <c r="G31" s="39">
        <f t="shared" si="0"/>
        <v>6.3948840927258192E-3</v>
      </c>
      <c r="H31" s="35" t="s">
        <v>87</v>
      </c>
      <c r="I31" s="34" t="s">
        <v>31</v>
      </c>
      <c r="J31" s="34" t="s">
        <v>157</v>
      </c>
      <c r="K31" s="18" t="s">
        <v>88</v>
      </c>
      <c r="M31" s="2"/>
      <c r="N31" s="2"/>
      <c r="O31" s="2"/>
      <c r="P31" s="2"/>
      <c r="Q31" s="7"/>
      <c r="R31" s="2"/>
      <c r="S31" s="2"/>
    </row>
    <row r="32" spans="1:19" x14ac:dyDescent="0.3">
      <c r="A32" s="24">
        <v>31</v>
      </c>
      <c r="B32" s="31" t="s">
        <v>89</v>
      </c>
      <c r="C32" s="31" t="s">
        <v>89</v>
      </c>
      <c r="D32" s="27" t="s">
        <v>198</v>
      </c>
      <c r="E32" s="28">
        <v>6</v>
      </c>
      <c r="F32" s="29" t="s">
        <v>210</v>
      </c>
      <c r="G32" s="30">
        <f t="shared" si="0"/>
        <v>4.7961630695443642E-3</v>
      </c>
      <c r="H32" s="31" t="s">
        <v>90</v>
      </c>
      <c r="I32" s="25" t="s">
        <v>207</v>
      </c>
      <c r="J32" s="25" t="s">
        <v>135</v>
      </c>
      <c r="K32" s="32" t="s">
        <v>91</v>
      </c>
      <c r="M32" s="2"/>
      <c r="N32" s="2"/>
      <c r="O32" s="2"/>
      <c r="P32" s="2"/>
      <c r="Q32" s="7"/>
      <c r="R32" s="2"/>
      <c r="S32" s="2"/>
    </row>
    <row r="33" spans="1:19" x14ac:dyDescent="0.3">
      <c r="A33" s="33">
        <v>32</v>
      </c>
      <c r="B33" s="35" t="s">
        <v>92</v>
      </c>
      <c r="C33" s="35" t="s">
        <v>92</v>
      </c>
      <c r="D33" s="36" t="s">
        <v>199</v>
      </c>
      <c r="E33" s="37">
        <v>5</v>
      </c>
      <c r="F33" s="38" t="s">
        <v>210</v>
      </c>
      <c r="G33" s="39">
        <f t="shared" si="0"/>
        <v>3.9968025579536371E-3</v>
      </c>
      <c r="H33" s="35" t="s">
        <v>93</v>
      </c>
      <c r="I33" s="34" t="s">
        <v>208</v>
      </c>
      <c r="J33" s="34" t="s">
        <v>158</v>
      </c>
      <c r="K33" s="18" t="s">
        <v>94</v>
      </c>
      <c r="M33" s="2"/>
      <c r="N33" s="2"/>
      <c r="O33" s="2"/>
      <c r="P33" s="2"/>
      <c r="Q33" s="7"/>
      <c r="R33" s="2"/>
      <c r="S33" s="2"/>
    </row>
    <row r="34" spans="1:19" ht="28.8" x14ac:dyDescent="0.3">
      <c r="A34" s="24">
        <v>33</v>
      </c>
      <c r="B34" s="31" t="s">
        <v>95</v>
      </c>
      <c r="C34" s="31" t="s">
        <v>95</v>
      </c>
      <c r="D34" s="27" t="s">
        <v>200</v>
      </c>
      <c r="E34" s="28">
        <v>5</v>
      </c>
      <c r="F34" s="29" t="s">
        <v>210</v>
      </c>
      <c r="G34" s="30">
        <f t="shared" si="0"/>
        <v>3.9968025579536371E-3</v>
      </c>
      <c r="H34" s="31" t="s">
        <v>96</v>
      </c>
      <c r="I34" s="25" t="s">
        <v>209</v>
      </c>
      <c r="J34" s="25" t="s">
        <v>136</v>
      </c>
      <c r="K34" s="32" t="s">
        <v>97</v>
      </c>
      <c r="M34" s="2"/>
      <c r="N34" s="2"/>
      <c r="O34" s="2"/>
      <c r="P34" s="2"/>
      <c r="Q34" s="7"/>
      <c r="R34" s="2"/>
      <c r="S34" s="2"/>
    </row>
    <row r="35" spans="1:19" x14ac:dyDescent="0.3">
      <c r="A35" s="33">
        <v>34</v>
      </c>
      <c r="B35" s="35" t="s">
        <v>98</v>
      </c>
      <c r="C35" s="35" t="s">
        <v>98</v>
      </c>
      <c r="D35" s="36" t="s">
        <v>201</v>
      </c>
      <c r="E35" s="37">
        <v>17</v>
      </c>
      <c r="F35" s="38" t="s">
        <v>210</v>
      </c>
      <c r="G35" s="39">
        <f t="shared" si="0"/>
        <v>1.3589128697042365E-2</v>
      </c>
      <c r="H35" s="35" t="s">
        <v>99</v>
      </c>
      <c r="I35" s="34" t="s">
        <v>207</v>
      </c>
      <c r="J35" s="34" t="s">
        <v>159</v>
      </c>
      <c r="K35" s="18" t="s">
        <v>100</v>
      </c>
      <c r="M35" s="2"/>
      <c r="N35" s="2"/>
      <c r="O35" s="2"/>
      <c r="P35" s="2"/>
      <c r="Q35" s="7"/>
      <c r="R35" s="2"/>
      <c r="S35" s="2"/>
    </row>
    <row r="36" spans="1:19" ht="28.8" x14ac:dyDescent="0.3">
      <c r="A36" s="24">
        <v>35</v>
      </c>
      <c r="B36" s="31" t="s">
        <v>101</v>
      </c>
      <c r="C36" s="31" t="s">
        <v>101</v>
      </c>
      <c r="D36" s="27" t="s">
        <v>202</v>
      </c>
      <c r="E36" s="28">
        <v>19</v>
      </c>
      <c r="F36" s="29" t="s">
        <v>210</v>
      </c>
      <c r="G36" s="30">
        <f t="shared" si="0"/>
        <v>1.5187849720223821E-2</v>
      </c>
      <c r="H36" s="31" t="s">
        <v>102</v>
      </c>
      <c r="I36" s="25" t="s">
        <v>31</v>
      </c>
      <c r="J36" s="25" t="s">
        <v>160</v>
      </c>
      <c r="K36" s="32" t="s">
        <v>103</v>
      </c>
      <c r="M36" s="2"/>
      <c r="N36" s="2"/>
      <c r="O36" s="2"/>
      <c r="P36" s="2"/>
      <c r="Q36" s="7"/>
      <c r="R36" s="2"/>
      <c r="S36" s="2"/>
    </row>
    <row r="37" spans="1:19" x14ac:dyDescent="0.3">
      <c r="A37" s="33">
        <v>36</v>
      </c>
      <c r="B37" s="35" t="s">
        <v>104</v>
      </c>
      <c r="C37" s="35" t="s">
        <v>104</v>
      </c>
      <c r="D37" s="36" t="s">
        <v>203</v>
      </c>
      <c r="E37" s="37">
        <v>17</v>
      </c>
      <c r="F37" s="38" t="s">
        <v>210</v>
      </c>
      <c r="G37" s="39">
        <f t="shared" si="0"/>
        <v>1.3589128697042365E-2</v>
      </c>
      <c r="H37" s="35" t="s">
        <v>105</v>
      </c>
      <c r="I37" s="34" t="s">
        <v>209</v>
      </c>
      <c r="J37" s="34" t="s">
        <v>161</v>
      </c>
      <c r="K37" s="18" t="s">
        <v>106</v>
      </c>
      <c r="M37" s="2"/>
      <c r="N37" s="2"/>
      <c r="O37" s="2"/>
      <c r="P37" s="2"/>
      <c r="Q37" s="7"/>
      <c r="R37" s="2"/>
      <c r="S37" s="2"/>
    </row>
    <row r="38" spans="1:19" ht="28.8" x14ac:dyDescent="0.3">
      <c r="A38" s="24">
        <v>37</v>
      </c>
      <c r="B38" s="31" t="s">
        <v>107</v>
      </c>
      <c r="C38" s="31" t="s">
        <v>107</v>
      </c>
      <c r="D38" s="27" t="s">
        <v>204</v>
      </c>
      <c r="E38" s="28">
        <v>2</v>
      </c>
      <c r="F38" s="29" t="s">
        <v>210</v>
      </c>
      <c r="G38" s="30">
        <f t="shared" si="0"/>
        <v>1.5987210231814548E-3</v>
      </c>
      <c r="H38" s="31" t="s">
        <v>108</v>
      </c>
      <c r="I38" s="25" t="s">
        <v>31</v>
      </c>
      <c r="J38" s="25" t="s">
        <v>162</v>
      </c>
      <c r="K38" s="32" t="s">
        <v>109</v>
      </c>
      <c r="M38" s="2"/>
      <c r="N38" s="2"/>
      <c r="O38" s="2"/>
      <c r="P38" s="2"/>
      <c r="Q38" s="7"/>
    </row>
    <row r="39" spans="1:19" x14ac:dyDescent="0.3">
      <c r="A39" s="40">
        <v>38</v>
      </c>
      <c r="B39" s="41" t="s">
        <v>110</v>
      </c>
      <c r="C39" s="41" t="s">
        <v>110</v>
      </c>
      <c r="D39" s="42" t="s">
        <v>205</v>
      </c>
      <c r="E39" s="43">
        <v>8</v>
      </c>
      <c r="F39" s="44" t="s">
        <v>210</v>
      </c>
      <c r="G39" s="45">
        <f t="shared" si="0"/>
        <v>6.3948840927258192E-3</v>
      </c>
      <c r="H39" s="41" t="s">
        <v>111</v>
      </c>
      <c r="I39" s="46" t="s">
        <v>207</v>
      </c>
      <c r="J39" s="46" t="s">
        <v>163</v>
      </c>
      <c r="K39" s="17" t="s">
        <v>112</v>
      </c>
      <c r="M39" s="2"/>
      <c r="N39" s="2"/>
      <c r="O39" s="2"/>
      <c r="P39" s="2"/>
      <c r="Q39" s="7"/>
    </row>
    <row r="41" spans="1:19" hidden="1" x14ac:dyDescent="0.3">
      <c r="E41" s="4">
        <f>SUM(E2:E39)</f>
        <v>1251</v>
      </c>
    </row>
  </sheetData>
  <hyperlinks>
    <hyperlink ref="C2" r:id="rId1" xr:uid="{AD35319D-20F9-4E22-82FF-089E5A5BFFDC}"/>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23BF-86B3-4022-B1B2-BC59BC9B6F4D}">
  <dimension ref="A1:A57"/>
  <sheetViews>
    <sheetView topLeftCell="A12" workbookViewId="0">
      <selection sqref="A1:A14"/>
    </sheetView>
  </sheetViews>
  <sheetFormatPr defaultRowHeight="14.4" x14ac:dyDescent="0.3"/>
  <cols>
    <col min="1" max="1" width="92.88671875" customWidth="1"/>
    <col min="2" max="11" width="8.5546875" customWidth="1"/>
  </cols>
  <sheetData>
    <row r="1" spans="1:1" x14ac:dyDescent="0.3">
      <c r="A1" s="5" t="s">
        <v>220</v>
      </c>
    </row>
    <row r="2" spans="1:1" ht="72" x14ac:dyDescent="0.3">
      <c r="A2" s="12" t="s">
        <v>119</v>
      </c>
    </row>
    <row r="3" spans="1:1" ht="129.6" x14ac:dyDescent="0.3">
      <c r="A3" s="11" t="s">
        <v>214</v>
      </c>
    </row>
    <row r="4" spans="1:1" ht="86.4" x14ac:dyDescent="0.3">
      <c r="A4" s="14" t="s">
        <v>120</v>
      </c>
    </row>
    <row r="5" spans="1:1" ht="230.4" x14ac:dyDescent="0.3">
      <c r="A5" s="13" t="s">
        <v>215</v>
      </c>
    </row>
    <row r="6" spans="1:1" ht="57.6" x14ac:dyDescent="0.3">
      <c r="A6" s="12" t="s">
        <v>121</v>
      </c>
    </row>
    <row r="7" spans="1:1" ht="72" x14ac:dyDescent="0.3">
      <c r="A7" s="15" t="s">
        <v>216</v>
      </c>
    </row>
    <row r="8" spans="1:1" ht="28.8" x14ac:dyDescent="0.3">
      <c r="A8" s="14" t="s">
        <v>125</v>
      </c>
    </row>
    <row r="9" spans="1:1" x14ac:dyDescent="0.3">
      <c r="A9" s="16" t="s">
        <v>217</v>
      </c>
    </row>
    <row r="10" spans="1:1" ht="57.6" x14ac:dyDescent="0.3">
      <c r="A10" s="12" t="s">
        <v>122</v>
      </c>
    </row>
    <row r="11" spans="1:1" ht="115.2" x14ac:dyDescent="0.3">
      <c r="A11" s="11" t="s">
        <v>218</v>
      </c>
    </row>
    <row r="12" spans="1:1" ht="72" x14ac:dyDescent="0.3">
      <c r="A12" s="14" t="s">
        <v>123</v>
      </c>
    </row>
    <row r="13" spans="1:1" ht="216" x14ac:dyDescent="0.3">
      <c r="A13" s="13" t="s">
        <v>219</v>
      </c>
    </row>
    <row r="14" spans="1:1" ht="28.8" x14ac:dyDescent="0.3">
      <c r="A14" s="6" t="s">
        <v>124</v>
      </c>
    </row>
    <row r="15" spans="1:1" x14ac:dyDescent="0.3">
      <c r="A15" s="3"/>
    </row>
    <row r="17" spans="1:1" s="9" customFormat="1" x14ac:dyDescent="0.3"/>
    <row r="18" spans="1:1" s="10" customFormat="1" x14ac:dyDescent="0.3">
      <c r="A18" s="2"/>
    </row>
    <row r="19" spans="1:1" s="9" customFormat="1" x14ac:dyDescent="0.3">
      <c r="A19" s="2"/>
    </row>
    <row r="20" spans="1:1" s="9" customFormat="1" x14ac:dyDescent="0.3"/>
    <row r="21" spans="1:1" s="9" customFormat="1" x14ac:dyDescent="0.3"/>
    <row r="22" spans="1:1" s="9" customFormat="1" x14ac:dyDescent="0.3"/>
    <row r="23" spans="1:1" s="9" customFormat="1" x14ac:dyDescent="0.3"/>
    <row r="24" spans="1:1" s="9" customFormat="1" x14ac:dyDescent="0.3"/>
    <row r="25" spans="1:1" s="9" customFormat="1" x14ac:dyDescent="0.3"/>
    <row r="26" spans="1:1" s="9" customFormat="1" x14ac:dyDescent="0.3"/>
    <row r="27" spans="1:1" s="9" customFormat="1" x14ac:dyDescent="0.3"/>
    <row r="28" spans="1:1" s="9" customFormat="1" x14ac:dyDescent="0.3"/>
    <row r="29" spans="1:1" s="9" customFormat="1" x14ac:dyDescent="0.3"/>
    <row r="30" spans="1:1" s="9" customFormat="1" x14ac:dyDescent="0.3"/>
    <row r="31" spans="1:1" s="9" customFormat="1" x14ac:dyDescent="0.3"/>
    <row r="32" spans="1:1" s="9" customFormat="1" x14ac:dyDescent="0.3"/>
    <row r="33" s="9" customFormat="1" x14ac:dyDescent="0.3"/>
    <row r="34" s="9" customFormat="1" x14ac:dyDescent="0.3"/>
    <row r="35" s="9" customFormat="1" x14ac:dyDescent="0.3"/>
    <row r="36" s="9" customFormat="1" x14ac:dyDescent="0.3"/>
    <row r="37" s="9" customFormat="1" x14ac:dyDescent="0.3"/>
    <row r="38" s="9" customFormat="1" ht="51.6" customHeight="1" x14ac:dyDescent="0.3"/>
    <row r="39" s="9" customFormat="1" ht="51.6" customHeight="1" x14ac:dyDescent="0.3"/>
    <row r="40" s="9" customFormat="1" ht="51.6" customHeight="1" x14ac:dyDescent="0.3"/>
    <row r="41" s="9" customFormat="1" ht="51.6" customHeight="1" x14ac:dyDescent="0.3"/>
    <row r="42" s="9" customFormat="1" ht="51.6" customHeight="1" x14ac:dyDescent="0.3"/>
    <row r="43" s="9" customFormat="1" ht="51.6" customHeight="1" x14ac:dyDescent="0.3"/>
    <row r="44" s="9" customFormat="1" ht="51.6" customHeight="1" x14ac:dyDescent="0.3"/>
    <row r="45" s="9" customFormat="1" ht="51.6" customHeight="1" x14ac:dyDescent="0.3"/>
    <row r="46" s="9" customFormat="1" ht="51.6" customHeight="1" x14ac:dyDescent="0.3"/>
    <row r="47" s="9" customFormat="1" ht="51.6" customHeight="1" x14ac:dyDescent="0.3"/>
    <row r="48" s="9" customFormat="1" ht="51.6" customHeight="1" x14ac:dyDescent="0.3"/>
    <row r="49" s="9" customFormat="1" ht="51.6" customHeight="1" x14ac:dyDescent="0.3"/>
    <row r="50" s="9" customFormat="1" ht="51.6" customHeight="1" x14ac:dyDescent="0.3"/>
    <row r="51" s="9" customFormat="1" ht="51.6" customHeight="1" x14ac:dyDescent="0.3"/>
    <row r="52" s="9" customFormat="1" ht="51.6" customHeight="1" x14ac:dyDescent="0.3"/>
    <row r="53" s="9" customFormat="1" ht="51.6" customHeight="1" x14ac:dyDescent="0.3"/>
    <row r="54" s="9" customFormat="1" ht="51.6" customHeight="1" x14ac:dyDescent="0.3"/>
    <row r="55" s="9" customFormat="1" ht="51.6" customHeight="1" x14ac:dyDescent="0.3"/>
    <row r="56" s="9" customFormat="1" ht="51.6" customHeight="1" x14ac:dyDescent="0.3"/>
    <row r="57" s="9" customFormat="1" ht="51.6" customHeight="1"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6734A6-9D24-44F5-89AB-C306C0EAF9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 Stories</vt:lpstr>
      <vt:lpstr>1- أبليس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2026-04-18T14:22:53Z</dcterms:created>
  <dcterms:modified xsi:type="dcterms:W3CDTF">2026-04-19T11:00:20Z</dcterms:modified>
</cp:coreProperties>
</file>